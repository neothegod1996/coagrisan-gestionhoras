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\Desktop\"/>
    </mc:Choice>
  </mc:AlternateContent>
  <xr:revisionPtr revIDLastSave="0" documentId="13_ncr:1_{B79EABFF-C04D-428F-BF60-FFB2F4AE30D5}" xr6:coauthVersionLast="47" xr6:coauthVersionMax="47" xr10:uidLastSave="{00000000-0000-0000-0000-000000000000}"/>
  <bookViews>
    <workbookView xWindow="-120" yWindow="-120" windowWidth="21240" windowHeight="15390" xr2:uid="{00000000-000D-0000-FFFF-FFFF00000000}"/>
  </bookViews>
  <sheets>
    <sheet name="bbdd relo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H50" i="1"/>
  <c r="H88" i="1"/>
  <c r="H89" i="1"/>
  <c r="H90" i="1"/>
  <c r="H31" i="1"/>
  <c r="H32" i="1"/>
  <c r="H3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4" i="1"/>
  <c r="H105" i="1" l="1"/>
  <c r="H81" i="1"/>
  <c r="H82" i="1"/>
  <c r="H83" i="1"/>
  <c r="H84" i="1"/>
  <c r="H85" i="1"/>
  <c r="H86" i="1"/>
  <c r="H87" i="1"/>
  <c r="H64" i="1"/>
  <c r="H79" i="1"/>
  <c r="H80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102" i="1"/>
  <c r="H103" i="1"/>
  <c r="H104" i="1"/>
  <c r="H101" i="1"/>
  <c r="H33" i="1"/>
  <c r="H100" i="1"/>
  <c r="H3" i="1"/>
  <c r="H99" i="1"/>
  <c r="H98" i="1"/>
  <c r="H97" i="1"/>
  <c r="H96" i="1"/>
  <c r="H95" i="1"/>
  <c r="H94" i="1"/>
  <c r="H93" i="1"/>
  <c r="H92" i="1"/>
  <c r="H91" i="1"/>
</calcChain>
</file>

<file path=xl/sharedStrings.xml><?xml version="1.0" encoding="utf-8"?>
<sst xmlns="http://schemas.openxmlformats.org/spreadsheetml/2006/main" count="994" uniqueCount="575">
  <si>
    <t>NOMBRE</t>
  </si>
  <si>
    <t>DNI</t>
  </si>
  <si>
    <t>FECHA
NCTO.</t>
  </si>
  <si>
    <t>AÑO
NCTO.</t>
  </si>
  <si>
    <t>EDAD</t>
  </si>
  <si>
    <t>CORREO ELECTRÓNICO</t>
  </si>
  <si>
    <t>ROMAN JESUS DIAZ GIL</t>
  </si>
  <si>
    <t>43.767.934 -S</t>
  </si>
  <si>
    <t>romandigi@telefonica.net</t>
  </si>
  <si>
    <t>Mª NIEVES QUINTANA SOSA</t>
  </si>
  <si>
    <t>78.470.208 -G</t>
  </si>
  <si>
    <t>nievesquintanas@gmail.com</t>
  </si>
  <si>
    <t>ROSA ELVA GONZALEZ VELAZQUEZ</t>
  </si>
  <si>
    <t>42.876.297 -L</t>
  </si>
  <si>
    <t>rosa@coagrisan.com</t>
  </si>
  <si>
    <t>ANA ESTHER GODOY LLARENA</t>
  </si>
  <si>
    <t>43.668.468 -R</t>
  </si>
  <si>
    <t>texenery97@hotmail.com</t>
  </si>
  <si>
    <t xml:space="preserve">ESTHER MAYOR LUJAN </t>
  </si>
  <si>
    <t>44.710.567 -Q</t>
  </si>
  <si>
    <t>estherml60@hotmail.com</t>
  </si>
  <si>
    <t>MARIA ELENA MAYOR SARMIENTO</t>
  </si>
  <si>
    <t>44.314679 -G</t>
  </si>
  <si>
    <t>elimaysar@hotmail.com</t>
  </si>
  <si>
    <t>MARIA DEL CARMEN AROCHA ARMAS</t>
  </si>
  <si>
    <t>78.500.920 -B</t>
  </si>
  <si>
    <t>mariacaa1981@gmail.com</t>
  </si>
  <si>
    <t>ZENAIDA DE JESUS MEDINA VEGA</t>
  </si>
  <si>
    <t>78.519.600 -S</t>
  </si>
  <si>
    <t>zenaidamv@hotmail.com</t>
  </si>
  <si>
    <t>FAUSTINA MONTESDEOCA HERRERA</t>
  </si>
  <si>
    <t>78.470.294 -K</t>
  </si>
  <si>
    <t>famohe-@hotmail.com</t>
  </si>
  <si>
    <t>MARCELINO SUAREZ RAMIREZ</t>
  </si>
  <si>
    <t>42.861.472-Y</t>
  </si>
  <si>
    <t>roberto@coagrisan.com</t>
  </si>
  <si>
    <t>MARCELO RODRÍGUEZ QUINTANA</t>
  </si>
  <si>
    <t>78.470.116-G</t>
  </si>
  <si>
    <t>marcelo@coagrisan.com</t>
  </si>
  <si>
    <t>MANUEL VELÁZQUEZ DELGADO</t>
  </si>
  <si>
    <t>45.755.228-V</t>
  </si>
  <si>
    <t>manolo@coagrisan.com</t>
  </si>
  <si>
    <t>JOSÉ JUAN SÁNCHEZ BOLAÑOS</t>
  </si>
  <si>
    <t>44.701.984-N</t>
  </si>
  <si>
    <t>FRANCISCO J. GODOY HERRERA</t>
  </si>
  <si>
    <t>78.520.859-D</t>
  </si>
  <si>
    <t>francisco_aldea@hotmail.es</t>
  </si>
  <si>
    <t>JOSÉ LUIS RAMOS GARCÍA</t>
  </si>
  <si>
    <t>43.764.563-W</t>
  </si>
  <si>
    <t>willyragar3@gmail.com</t>
  </si>
  <si>
    <t>LUIS DÍAZ SUÁREZ</t>
  </si>
  <si>
    <t>78.470.346-G</t>
  </si>
  <si>
    <t>venus_aldea@hotmail.com</t>
  </si>
  <si>
    <t>JUAN JOSÉ GUTIÉRREZ DÍAZ</t>
  </si>
  <si>
    <t>44.304.170-Y</t>
  </si>
  <si>
    <t>juanjosegutdi@hotmail.com</t>
  </si>
  <si>
    <t>ALEJANDRO SOSA SUÁREZ</t>
  </si>
  <si>
    <t>43.291.640-K</t>
  </si>
  <si>
    <t>CRISTINA OJEDA OJEDA</t>
  </si>
  <si>
    <t>42.829.638-G</t>
  </si>
  <si>
    <t>cristinaojedaojeda14@gmail.com</t>
  </si>
  <si>
    <t>FRANCISCA Mª OJEDA OJEDA</t>
  </si>
  <si>
    <t>42.791.086-T</t>
  </si>
  <si>
    <t>ojedaojedafranciscamaria@gmail.com</t>
  </si>
  <si>
    <t>Mª LUISA GARCÍA DELGADO</t>
  </si>
  <si>
    <t>42.829.835-V</t>
  </si>
  <si>
    <t>luisagade@hotmail.com</t>
  </si>
  <si>
    <t>JOSEFA A. SEGURA VALENCIA</t>
  </si>
  <si>
    <t>78.470.231-G</t>
  </si>
  <si>
    <t>pepahoyo06@gmail.com</t>
  </si>
  <si>
    <t>DOMINGO ALMEIDA VEGA</t>
  </si>
  <si>
    <t>78.470.032-N</t>
  </si>
  <si>
    <t>almeidavegadomingo@gmail.com</t>
  </si>
  <si>
    <t>JUAN FRANCISCO NAVARRO DÍAZ</t>
  </si>
  <si>
    <t>43.751.062-W</t>
  </si>
  <si>
    <t>victorianavarrosuarez20011@gmail.com</t>
  </si>
  <si>
    <t>42.844.531-Q</t>
  </si>
  <si>
    <t>GRICELIA GONZÁLEZ ARAUJO</t>
  </si>
  <si>
    <t>78.470.291-H</t>
  </si>
  <si>
    <t>jose_aldeano_1@hotmail.com</t>
  </si>
  <si>
    <t>ISABEL Mª HERNÁNDEZ SUÁREZ</t>
  </si>
  <si>
    <t>78.470.247-C</t>
  </si>
  <si>
    <t>NATIVIDAD G. RAMOS LLARENA</t>
  </si>
  <si>
    <t>78.477.963-P</t>
  </si>
  <si>
    <t>JUAN MANUEL SUÁREZ GARCÍA</t>
  </si>
  <si>
    <t>42.861.948-E</t>
  </si>
  <si>
    <t>juanmanuelsuarezgarcia27@gmail.com</t>
  </si>
  <si>
    <t>JOSÉ JULIO DÍAZ ALEMÁN</t>
  </si>
  <si>
    <t>43.787.520-M</t>
  </si>
  <si>
    <t>jose_anni@hotmail.com</t>
  </si>
  <si>
    <t xml:space="preserve">OCTAVIO CASTELLANO DIAZ </t>
  </si>
  <si>
    <t>44.713.096-S</t>
  </si>
  <si>
    <t>Mª NIEVES GODOY SOSA</t>
  </si>
  <si>
    <t>78.478.182-C</t>
  </si>
  <si>
    <t>mari_sosa2@hotmail.com</t>
  </si>
  <si>
    <t>Mª DOLORES CUBAS QUINTANA</t>
  </si>
  <si>
    <t>78.470.100-B</t>
  </si>
  <si>
    <t>maricubasquintana3@gmail.com</t>
  </si>
  <si>
    <t>ABEL ALMEIDA DELGADO</t>
  </si>
  <si>
    <t>78.469.282-K</t>
  </si>
  <si>
    <t>abel_1965@hotmail.es</t>
  </si>
  <si>
    <t>Mª CLAUDIA RAMOS MARTÍN</t>
  </si>
  <si>
    <t>78.470.367-W</t>
  </si>
  <si>
    <t>claudia148@gmail.com</t>
  </si>
  <si>
    <t>N. AMPARO BENÍTEZ QUINTANA</t>
  </si>
  <si>
    <t>78.477.982-G</t>
  </si>
  <si>
    <t>carmelofuentesaldea@gmail.com</t>
  </si>
  <si>
    <t xml:space="preserve">YURENA VALENCIA MEDINA </t>
  </si>
  <si>
    <t>44.731.792-N</t>
  </si>
  <si>
    <t>yure.aldeana@gmail.com</t>
  </si>
  <si>
    <t>CARLOS RODRÍGUEZ RAMÍREZ</t>
  </si>
  <si>
    <t>42.210.526-Y</t>
  </si>
  <si>
    <t>carlos_goloso@hotmail.com</t>
  </si>
  <si>
    <t>DESIRÉE GARCÍA SUÁREZ</t>
  </si>
  <si>
    <t>42.202.075-L</t>
  </si>
  <si>
    <t>desireegarciasuarez1109@gmail.com</t>
  </si>
  <si>
    <t>DAVID LLARENA CABRERA</t>
  </si>
  <si>
    <t>42.201.978-Z</t>
  </si>
  <si>
    <t>davidadesi10@gmail.com</t>
  </si>
  <si>
    <t>FRANCISCO YERAY HERRERA RAMOS</t>
  </si>
  <si>
    <t>44.725.790 -J</t>
  </si>
  <si>
    <t>yeraari@hotmail.com</t>
  </si>
  <si>
    <t>ARIANA DE LAS NIEVES SUÁREZ JIMÉNEZ</t>
  </si>
  <si>
    <t>44.723.610 -H</t>
  </si>
  <si>
    <t>arianasuarezjimenez@gmail.com</t>
  </si>
  <si>
    <t>NATIVIDAD PINO SEGURA HERNÁNDEZ</t>
  </si>
  <si>
    <t>43.274.459-M</t>
  </si>
  <si>
    <t>natividadsegura8@gmail.com</t>
  </si>
  <si>
    <t>Mª NIEVES CUBAS JIMÉNEZ</t>
  </si>
  <si>
    <t>78.470.454-C</t>
  </si>
  <si>
    <t>NAYRA INÉS DÍAZ SUÁREZ</t>
  </si>
  <si>
    <t>78.519.303-V</t>
  </si>
  <si>
    <t>latijuana@hotmail.com</t>
  </si>
  <si>
    <t>HIPOLITO MORALES VALENCIA</t>
  </si>
  <si>
    <t>44.704.231-M</t>
  </si>
  <si>
    <t>JUAN FCO. OJEDA MONTESDEOCA</t>
  </si>
  <si>
    <t>45.763.088-B</t>
  </si>
  <si>
    <t>distinto84@gmail.com</t>
  </si>
  <si>
    <t>ALEJANDRO J. SANTANA PADRÓN</t>
  </si>
  <si>
    <t>42.212.364-E</t>
  </si>
  <si>
    <t>ALY MOHAMED SALEM</t>
  </si>
  <si>
    <t>X09188690Y</t>
  </si>
  <si>
    <t>alymohamedlemine33@gmail.com</t>
  </si>
  <si>
    <t>Mª ESMERALDA CASTELLANO OLIVARES</t>
  </si>
  <si>
    <t>44.717.700-L</t>
  </si>
  <si>
    <t>yerobeesmeralda@gmail.com</t>
  </si>
  <si>
    <t>ANGELA E. SANTANA PEREZ</t>
  </si>
  <si>
    <t>54.148.681-B</t>
  </si>
  <si>
    <t>atequiur@hotmail.com</t>
  </si>
  <si>
    <t>Mª LUISA SEGURA OLIVA</t>
  </si>
  <si>
    <t>42.823.926-L</t>
  </si>
  <si>
    <t>luisinasegura1964@gmail.com</t>
  </si>
  <si>
    <t>YENNIFER CUBAS SOSA</t>
  </si>
  <si>
    <t>43.291.673-S</t>
  </si>
  <si>
    <t>yenicubassosa@gmail.com</t>
  </si>
  <si>
    <t>LUZ AIMARA MEDINA RAMOS</t>
  </si>
  <si>
    <t>43.292.558-A</t>
  </si>
  <si>
    <t>aimara.aldea@hotmail.com</t>
  </si>
  <si>
    <t>Mª ELENA SUÁREZ RAMÍREZ</t>
  </si>
  <si>
    <t>78.478.032-P</t>
  </si>
  <si>
    <t>elenahugo20@gmail.com</t>
  </si>
  <si>
    <t>PETRA OJEDA RODRÍGUEZ</t>
  </si>
  <si>
    <t>42.826.583-P</t>
  </si>
  <si>
    <t>LEYVA HERRERA RAMOS</t>
  </si>
  <si>
    <t>43.292.875-K</t>
  </si>
  <si>
    <t>leyvaionne@hotmail.com</t>
  </si>
  <si>
    <t>LOIDA HERNÁNDEZ ÁLAMO</t>
  </si>
  <si>
    <t>42.208.490-V</t>
  </si>
  <si>
    <t>yamiyosi@hotmail.es</t>
  </si>
  <si>
    <t>NAUZET DE JESÚS REYES MEDEROS</t>
  </si>
  <si>
    <t>45.361.679-K</t>
  </si>
  <si>
    <t>MELQUIEL RAMOS SUÁREZ</t>
  </si>
  <si>
    <t>78.506.270-W</t>
  </si>
  <si>
    <t>melquiel@hotmail.com</t>
  </si>
  <si>
    <t>YLENIA RAMÍREZ MEDINA</t>
  </si>
  <si>
    <t>43.297.066-A</t>
  </si>
  <si>
    <t>ylenia_50@hotmail.com</t>
  </si>
  <si>
    <t>DÉVORA MEDINA REYES</t>
  </si>
  <si>
    <t>45.615.942-L</t>
  </si>
  <si>
    <t>deborah_98@live.com</t>
  </si>
  <si>
    <t>FRANCISCA MELANIA GUERRA BOLAÑOS</t>
  </si>
  <si>
    <t>45.395.198-Y</t>
  </si>
  <si>
    <t>melaniaaldea121297@gmail.com</t>
  </si>
  <si>
    <t>45.396.869-K</t>
  </si>
  <si>
    <t>ariadna.qr1997@gmail.com</t>
  </si>
  <si>
    <t>HÉCTOR FARIÑA MONTESDEOCA</t>
  </si>
  <si>
    <t>43.293.308-V</t>
  </si>
  <si>
    <t>hectorfarimontesdeoca@gmail.com</t>
  </si>
  <si>
    <t>JOSÉ RAICO HERRERA SUÁREZ</t>
  </si>
  <si>
    <t>43.296.939-Z</t>
  </si>
  <si>
    <t>raicohesu@gmail.com</t>
  </si>
  <si>
    <t>ROSA DELIA HERRERA CUBAS</t>
  </si>
  <si>
    <t>78.514.045-A</t>
  </si>
  <si>
    <t>nikira23@hotmail.com</t>
  </si>
  <si>
    <t>ROSITSA TONCHEVA FURNADZHIEVA</t>
  </si>
  <si>
    <t>X05689519-D</t>
  </si>
  <si>
    <t>rosatonche79@gmail.com</t>
  </si>
  <si>
    <t>FRANCISCO JAVIER ESPINO OJEDA</t>
  </si>
  <si>
    <t>42.872.869-H</t>
  </si>
  <si>
    <t>franciscojavierespinoojeda@gmail.com</t>
  </si>
  <si>
    <t>45.758.706-E</t>
  </si>
  <si>
    <t>vicgu2013@hotmail.com</t>
  </si>
  <si>
    <t>ROSA MEDINA PÉREZ</t>
  </si>
  <si>
    <t>43.751.870-M</t>
  </si>
  <si>
    <t>tania_lp88@hotmail.es</t>
  </si>
  <si>
    <t>YASMINA C. SUÁREZ OJEDA</t>
  </si>
  <si>
    <t>78.516.574-W</t>
  </si>
  <si>
    <t>yasminasuarezojeda@gmail.com</t>
  </si>
  <si>
    <t xml:space="preserve">Mª ANGELES SUÁREZ SUÁREZ </t>
  </si>
  <si>
    <t>78.470.217-J</t>
  </si>
  <si>
    <t>RUYMÁN GUERRA ESPINO</t>
  </si>
  <si>
    <t>78.499.622-R</t>
  </si>
  <si>
    <t>beatrizyudelys@gmail.com</t>
  </si>
  <si>
    <t>RAYCO MIRANDA MARTÍN</t>
  </si>
  <si>
    <t>78.507.407-N</t>
  </si>
  <si>
    <t>macuirune@gmail.com</t>
  </si>
  <si>
    <t>JUAN RAFAEL MONTESDEOCA DELGADO</t>
  </si>
  <si>
    <t>78.470.175-V</t>
  </si>
  <si>
    <t>bmw.rafael315@gmail.com</t>
  </si>
  <si>
    <t>ADAY ALMEIDA CUBAS</t>
  </si>
  <si>
    <t>adaycubas@hotmail.com</t>
  </si>
  <si>
    <t>43.294.982-N</t>
  </si>
  <si>
    <t>isabeljuke1@gmail.com</t>
  </si>
  <si>
    <t>rllguayarmina@gmail.com</t>
  </si>
  <si>
    <t>alejandro.sosa.suarez.1987@gmail.com</t>
  </si>
  <si>
    <t>alejandrosantanapadron34@gmail.com</t>
  </si>
  <si>
    <t>DIRECCION</t>
  </si>
  <si>
    <t>TOCODOMAN, 34</t>
  </si>
  <si>
    <t>BENTEJUI, 8</t>
  </si>
  <si>
    <t>EL HOYO, 85</t>
  </si>
  <si>
    <t>DOCTOR FLEMING, 127</t>
  </si>
  <si>
    <t>PASEO DE LOS ESPINOS, 173</t>
  </si>
  <si>
    <t>Mª EUGENIA MARQUEZ RGUEZ., 8</t>
  </si>
  <si>
    <t>CARRETERA A MOGAN 5</t>
  </si>
  <si>
    <t>SUBIDA AL LANCERO, 41</t>
  </si>
  <si>
    <t>DIEZ DE SEPTIEMBRE, 2</t>
  </si>
  <si>
    <t>SUBIDA AL LANCERO, 15</t>
  </si>
  <si>
    <t>MONTEVERDE, 29 P-1 DC</t>
  </si>
  <si>
    <t>JOSE ANTONIO, 38</t>
  </si>
  <si>
    <t>GUANARTEME, 20</t>
  </si>
  <si>
    <t>ROQUE NUBLO, 5 P1 C</t>
  </si>
  <si>
    <t>BUENAVISTA, 6</t>
  </si>
  <si>
    <t>LOS CASERONES, 4</t>
  </si>
  <si>
    <t>URB. LA CARDONERA, 29</t>
  </si>
  <si>
    <t>LA HOYA, 4</t>
  </si>
  <si>
    <t>MONTEVERDE, 27</t>
  </si>
  <si>
    <t>CANONIGO, 11</t>
  </si>
  <si>
    <t>BARANQUILLO HONDO, 27</t>
  </si>
  <si>
    <t>EL ALBERCON, 10</t>
  </si>
  <si>
    <t>AVDA.LOS CARDONES, 59 P.1-2</t>
  </si>
  <si>
    <t>EL HOYO, 52</t>
  </si>
  <si>
    <t>LA HOYA, 25</t>
  </si>
  <si>
    <t>SILVESTRE ANGULO BRITO, 25</t>
  </si>
  <si>
    <t>SACRISTAN MANUEL ARAUJO Y LOMBA, 3 PBJ E</t>
  </si>
  <si>
    <t>LOS ESPINOS, 28 J3</t>
  </si>
  <si>
    <t>URB. BUENAVISTA, 15</t>
  </si>
  <si>
    <t>LOS MOLINOS, 2</t>
  </si>
  <si>
    <t>LAS TABLADAS, 32</t>
  </si>
  <si>
    <t>LOS PASITOS, 17</t>
  </si>
  <si>
    <t>JUAN LEON MARTIN, 17</t>
  </si>
  <si>
    <t>DOCTOR FLEMING, 62</t>
  </si>
  <si>
    <t>ISLAS CANARIAS, 10 R</t>
  </si>
  <si>
    <t>Mª EUGENIA MARQUEZ RGUEZ., 37</t>
  </si>
  <si>
    <t>URB. BUENAVISTA, 17</t>
  </si>
  <si>
    <t>SUBIDA LOMO DEL PINO, 6</t>
  </si>
  <si>
    <t>LAS TABLADAS, 30 A</t>
  </si>
  <si>
    <t>SILVESTRE ANGULO BRITO, 35</t>
  </si>
  <si>
    <t>SUBIDA A LA CRUZ, 9</t>
  </si>
  <si>
    <t>LA GOMERA, 13</t>
  </si>
  <si>
    <t>TELEFONO</t>
  </si>
  <si>
    <t>EL CALVARIO, 8</t>
  </si>
  <si>
    <t>URB. LA CARDONERA, 17</t>
  </si>
  <si>
    <t>DON PACO RAMOS, 22</t>
  </si>
  <si>
    <t>EL PINILLO, 65</t>
  </si>
  <si>
    <t>SAN FRANCISCO DE BORJA, 9</t>
  </si>
  <si>
    <t>SUBIDA DEL LANCERO, 23</t>
  </si>
  <si>
    <t>616167283-928885269</t>
  </si>
  <si>
    <t>620079217-928885129</t>
  </si>
  <si>
    <t>BENTAIGA, 18-2º</t>
  </si>
  <si>
    <t>629616085-928890395</t>
  </si>
  <si>
    <t>FEDERICO RODRIGUEZ GIL, 6</t>
  </si>
  <si>
    <t>FEDERICO DIAZ BERTRANA, 13</t>
  </si>
  <si>
    <t>PASEO DE LOS ESPINOS, 24</t>
  </si>
  <si>
    <t>TASARTICO, 22</t>
  </si>
  <si>
    <t>TASARTICO, 12</t>
  </si>
  <si>
    <t>D. JUAN LEON MARTIN, 30</t>
  </si>
  <si>
    <t>TOCODOMAN, 32</t>
  </si>
  <si>
    <t>GOMERA, 23</t>
  </si>
  <si>
    <t>URB. LOS CASTAÑOS, 25</t>
  </si>
  <si>
    <t>FEDERICO RODRIGUEZ GIL, 2</t>
  </si>
  <si>
    <t>TARAHALILLO, 22</t>
  </si>
  <si>
    <t>REAL, 6</t>
  </si>
  <si>
    <t>GOMEZ, 24</t>
  </si>
  <si>
    <t>LOS ESPINOS, 38</t>
  </si>
  <si>
    <t>BENTEJUI, 17</t>
  </si>
  <si>
    <t>GOMERA, 9</t>
  </si>
  <si>
    <t>616403249-928890045</t>
  </si>
  <si>
    <t>616167485-928892388</t>
  </si>
  <si>
    <t>639827671-928885080</t>
  </si>
  <si>
    <t>679860671-928894718</t>
  </si>
  <si>
    <t>680123226-928890798</t>
  </si>
  <si>
    <t>699869129-928891039</t>
  </si>
  <si>
    <t>655370382-828040610</t>
  </si>
  <si>
    <t>ojedarodriguezfabiola@gmail.com</t>
  </si>
  <si>
    <t>PERERA SUAREZ JOSEFA</t>
  </si>
  <si>
    <t>44.302.340-Q</t>
  </si>
  <si>
    <t>JUAN LEON MARTIN, 8</t>
  </si>
  <si>
    <t>SACRISTAN MANUEL ARAUJO Y LOMBA, 3 P2 F</t>
  </si>
  <si>
    <t>CALLE AÑO 1927, 15-1ºA</t>
  </si>
  <si>
    <t>ONEDIA MARIA ARMAS GONZALEZ</t>
  </si>
  <si>
    <t>one_sorni@hotmail.com</t>
  </si>
  <si>
    <t>PABLO VI, 1</t>
  </si>
  <si>
    <t>ALTA</t>
  </si>
  <si>
    <t>fifapererasuarez@gmail.com</t>
  </si>
  <si>
    <t>SUBIDA LOMO DEL PNO, 7 A</t>
  </si>
  <si>
    <t>guiomartovarmolina@hotmail.com</t>
  </si>
  <si>
    <t>43.294.686-S</t>
  </si>
  <si>
    <t>EL RISCO, 21 - AGAETE</t>
  </si>
  <si>
    <t>CARMEN DEL PINO CASTELLANO OLIVARES</t>
  </si>
  <si>
    <t>43.294.994-R</t>
  </si>
  <si>
    <t>MARETA DEL CURA, 4</t>
  </si>
  <si>
    <t>ADEXE YOSSIMAR DIAZ GONZALEZ</t>
  </si>
  <si>
    <t>45.773.808-J</t>
  </si>
  <si>
    <t>44.723.002-P</t>
  </si>
  <si>
    <t>LA LUZ, 8 P-1º C</t>
  </si>
  <si>
    <t>LA LUZ, 8 P-1º E</t>
  </si>
  <si>
    <t>yossidiazglez@gmail.com</t>
  </si>
  <si>
    <t>ALEJANDRO DEL TORO DAMASO</t>
  </si>
  <si>
    <t>YOSIMAR FUNES SUAREZ</t>
  </si>
  <si>
    <t>alejandrodtd@gmail.com</t>
  </si>
  <si>
    <t>45.352.787-F</t>
  </si>
  <si>
    <t>43.292.878-R</t>
  </si>
  <si>
    <t>AVDA. LOS CARDONES, 50</t>
  </si>
  <si>
    <t>CECILIA MESADA SEGURA AFONSO</t>
  </si>
  <si>
    <t xml:space="preserve">ARIADNA QUINTANA REYES </t>
  </si>
  <si>
    <t>EL CANONIGO, 5B</t>
  </si>
  <si>
    <t>42.211.721-M</t>
  </si>
  <si>
    <t>LOS PASITOS, 3</t>
  </si>
  <si>
    <t>eiden140318@gmail.com</t>
  </si>
  <si>
    <t>hipolitomoralesvalencia@gmail.com</t>
  </si>
  <si>
    <t>mesadasegura35@gmail.com</t>
  </si>
  <si>
    <t>maria.masr53@gmail.com</t>
  </si>
  <si>
    <t>castellanooctavio03@gmail.com</t>
  </si>
  <si>
    <t>rmnauzet@gmail.com</t>
  </si>
  <si>
    <t>AVDA. LOS CARDONES, 61-PTA. 4</t>
  </si>
  <si>
    <t>ALEXANDRO DAMASO SANCHEZ</t>
  </si>
  <si>
    <t>78.504.925-Z</t>
  </si>
  <si>
    <t>EL PINILLO, 59</t>
  </si>
  <si>
    <t>NOEMÍ PADRÓN MARTÍN</t>
  </si>
  <si>
    <t>IVONNE C. MANDULEY SEGURA</t>
  </si>
  <si>
    <t>HERACLIO RAMÍREZ LLARENA</t>
  </si>
  <si>
    <t>MARCO JESUS RAMIREZ FALCON</t>
  </si>
  <si>
    <t>ADRIAN MIRANDA PADRON</t>
  </si>
  <si>
    <t>ALVARO MIRANDA PADRON</t>
  </si>
  <si>
    <t>NELSON BOLAÑOS DIAZ</t>
  </si>
  <si>
    <t>JUAN LEON MARTIN, 3</t>
  </si>
  <si>
    <t>4lv4ro.miranda@gmail.com</t>
  </si>
  <si>
    <t>adrianmirandapadron@gmail.com</t>
  </si>
  <si>
    <t>naomipadronmartin@gmail.com</t>
  </si>
  <si>
    <t>nelsonbolanos46@gmail.com</t>
  </si>
  <si>
    <t>j.nsd@gmail.com</t>
  </si>
  <si>
    <t>YARISA RAMIREZ MEDINA</t>
  </si>
  <si>
    <t>43.297.067-G</t>
  </si>
  <si>
    <t>689680843</t>
  </si>
  <si>
    <t>yarisaramirezmdn@gmail.com</t>
  </si>
  <si>
    <t>ELISEO QUINTANA MONTESDEOCA</t>
  </si>
  <si>
    <t>45.763.113-J</t>
  </si>
  <si>
    <t>PASEO DE LAS PALMERAS, 31</t>
  </si>
  <si>
    <t>eliseo.quintana@hotmail.com</t>
  </si>
  <si>
    <t>669242531</t>
  </si>
  <si>
    <t>JUAN SANTIAGO MONTESDEOCA HERNANDEZ</t>
  </si>
  <si>
    <t>78.478.124-P</t>
  </si>
  <si>
    <t>EL CLAVEL, 8</t>
  </si>
  <si>
    <t>650733062</t>
  </si>
  <si>
    <t>santimh42@gmail.com</t>
  </si>
  <si>
    <t>HIERRO, 4</t>
  </si>
  <si>
    <t>ivonmanduley.25@icloud.com</t>
  </si>
  <si>
    <t>heracliollarena1989@gmail.com</t>
  </si>
  <si>
    <t>the_s.a@hotmail.com</t>
  </si>
  <si>
    <t>LOS CARDONES, 55</t>
  </si>
  <si>
    <t>LOS CARDONES, 53 P1-2</t>
  </si>
  <si>
    <t>URB. EL CRUCE, 5</t>
  </si>
  <si>
    <t>SUBIDA LOMO DEL PINO, 9</t>
  </si>
  <si>
    <t>43.297.001-F</t>
  </si>
  <si>
    <t>21.105.515-W</t>
  </si>
  <si>
    <t>45.396.044-R</t>
  </si>
  <si>
    <t>78.514.109-K</t>
  </si>
  <si>
    <t>43.294.655-F</t>
  </si>
  <si>
    <t>45.332.595-D</t>
  </si>
  <si>
    <t>45.345.977-M</t>
  </si>
  <si>
    <t>damasoalexandro106@gmail.com</t>
  </si>
  <si>
    <t>nayra.diepa@gmail.com</t>
  </si>
  <si>
    <t>78.505.737-K</t>
  </si>
  <si>
    <t>BARRANCO SANTO, 4</t>
  </si>
  <si>
    <t>mariadelasnievescubasjimenez@gmail.com</t>
  </si>
  <si>
    <t>MIGUEL FAUSTINO RODRIGUEZ DELGADO</t>
  </si>
  <si>
    <t>LOS LLANILLOS Nº6</t>
  </si>
  <si>
    <t>ANABEL JIMENEZ CASTELLANO</t>
  </si>
  <si>
    <t>43.296.992-K</t>
  </si>
  <si>
    <t>AVDA. LOS CARDONES, 48</t>
  </si>
  <si>
    <t>anabeljmnez@gmail.com</t>
  </si>
  <si>
    <t>VICTOR MANUEL PERERA VEGA</t>
  </si>
  <si>
    <t>78.470.010-N</t>
  </si>
  <si>
    <t>SHEILA ARAÑA SOSA</t>
  </si>
  <si>
    <t>43.297.070-Q</t>
  </si>
  <si>
    <t>JOSE DEL PINO, 3</t>
  </si>
  <si>
    <t>INGENIERO DORESTE, 14 E2 P01 C</t>
  </si>
  <si>
    <t>MICHAEL ALEJANDRO SANCHEZ GIL</t>
  </si>
  <si>
    <t>JOSE ANGEL SOSA GONZALEZ</t>
  </si>
  <si>
    <t>SANTIAGO MANUEL HERRERA SUAREZ</t>
  </si>
  <si>
    <t>78.470.276-A</t>
  </si>
  <si>
    <t>CARDONERA, 16</t>
  </si>
  <si>
    <t>43.296.975-G</t>
  </si>
  <si>
    <t>45.399.846P</t>
  </si>
  <si>
    <t>MARI AEUGENIA MARQUEZ, 8</t>
  </si>
  <si>
    <t>PABLO VI, 27</t>
  </si>
  <si>
    <t>Mª VICTORIA GARCÍA OJEDA</t>
  </si>
  <si>
    <t>Z1773933-V</t>
  </si>
  <si>
    <t>Z2841725-B</t>
  </si>
  <si>
    <t>12849818-V</t>
  </si>
  <si>
    <t>Z2076183-R</t>
  </si>
  <si>
    <t>Z2841708V</t>
  </si>
  <si>
    <t>DOCTOR FLEMING, 115</t>
  </si>
  <si>
    <t>número tarjeta</t>
  </si>
  <si>
    <t>alias</t>
  </si>
  <si>
    <t>horario</t>
  </si>
  <si>
    <t>es responsable</t>
  </si>
  <si>
    <t>no</t>
  </si>
  <si>
    <t>Agro</t>
  </si>
  <si>
    <t>empaquetado</t>
  </si>
  <si>
    <t>planta transferencia</t>
  </si>
  <si>
    <t>oficina</t>
  </si>
  <si>
    <t>conductor</t>
  </si>
  <si>
    <t>mantenimiento</t>
  </si>
  <si>
    <t>regimen general</t>
  </si>
  <si>
    <t>Agro_fijo</t>
  </si>
  <si>
    <t>excedencia</t>
  </si>
  <si>
    <t>SI</t>
  </si>
  <si>
    <t>oficina técnica</t>
  </si>
  <si>
    <t>agro 7:30</t>
  </si>
  <si>
    <t>convenio_ubicación</t>
  </si>
  <si>
    <t>categoria_perfil</t>
  </si>
  <si>
    <t xml:space="preserve">DAVINIA SUAREZ DIEPA NAYRA </t>
  </si>
  <si>
    <t xml:space="preserve">FRANK MAVERICK MELGAREJO REGALADO </t>
  </si>
  <si>
    <t xml:space="preserve">JULIANA MARLENY LLAMO SALAZAR </t>
  </si>
  <si>
    <t xml:space="preserve">FERNANDO MUSTELIER GARCIA </t>
  </si>
  <si>
    <t xml:space="preserve">LAMIN MOHAMED MOHAMED </t>
  </si>
  <si>
    <t xml:space="preserve">ALEX ANGEL QUISPE GONZALES </t>
  </si>
  <si>
    <t>ROMAN</t>
  </si>
  <si>
    <t>NIEVES</t>
  </si>
  <si>
    <t>ROSA</t>
  </si>
  <si>
    <t>ESTHER</t>
  </si>
  <si>
    <t>MARIA</t>
  </si>
  <si>
    <t>ELENA</t>
  </si>
  <si>
    <t>CARMEN</t>
  </si>
  <si>
    <t>ZENAIDA</t>
  </si>
  <si>
    <t>FAUSTINA</t>
  </si>
  <si>
    <t>ONEDIA</t>
  </si>
  <si>
    <t>YOSSIMAR</t>
  </si>
  <si>
    <t>YARISA</t>
  </si>
  <si>
    <t>MARCELO</t>
  </si>
  <si>
    <t>MANUEL</t>
  </si>
  <si>
    <t>ELISEO</t>
  </si>
  <si>
    <t>JUAN</t>
  </si>
  <si>
    <t>LUIS</t>
  </si>
  <si>
    <t>FRANCISCO</t>
  </si>
  <si>
    <t>CARLOS</t>
  </si>
  <si>
    <t>OCTAVIO</t>
  </si>
  <si>
    <t>NAUZET</t>
  </si>
  <si>
    <t>MELQUIEL</t>
  </si>
  <si>
    <t>ANABEL</t>
  </si>
  <si>
    <t>VICTOR</t>
  </si>
  <si>
    <t>SHEILA</t>
  </si>
  <si>
    <t>CRISTINA</t>
  </si>
  <si>
    <t>FRANCISCA</t>
  </si>
  <si>
    <t>JOSEFA</t>
  </si>
  <si>
    <t>DOMINGO</t>
  </si>
  <si>
    <t>GRICELIA</t>
  </si>
  <si>
    <t>ISABEL</t>
  </si>
  <si>
    <t>NATIVIDAD</t>
  </si>
  <si>
    <t>JULIO</t>
  </si>
  <si>
    <t>ABEL</t>
  </si>
  <si>
    <t>CLAUDIA</t>
  </si>
  <si>
    <t>AMPARO</t>
  </si>
  <si>
    <t>YURENA</t>
  </si>
  <si>
    <t>DESIRÉE</t>
  </si>
  <si>
    <t>DAVID</t>
  </si>
  <si>
    <t>ARIANA</t>
  </si>
  <si>
    <t>NAYRA</t>
  </si>
  <si>
    <t>HIPOLITO</t>
  </si>
  <si>
    <t>ALEJANDRO</t>
  </si>
  <si>
    <t>ALY</t>
  </si>
  <si>
    <t>ESMERALDA</t>
  </si>
  <si>
    <t>ANGELA</t>
  </si>
  <si>
    <t>ALEXANDRO</t>
  </si>
  <si>
    <t>YENNIFER</t>
  </si>
  <si>
    <t>LUZ</t>
  </si>
  <si>
    <t>PETRA</t>
  </si>
  <si>
    <t>LEYVA</t>
  </si>
  <si>
    <t>LOIDA</t>
  </si>
  <si>
    <t>YLENIA</t>
  </si>
  <si>
    <t>DÉVORA</t>
  </si>
  <si>
    <t>MELANIA</t>
  </si>
  <si>
    <t>HÉCTOR</t>
  </si>
  <si>
    <t>RAICO</t>
  </si>
  <si>
    <t>ARIADNA</t>
  </si>
  <si>
    <t>CECILIA</t>
  </si>
  <si>
    <t>NOEMÍ</t>
  </si>
  <si>
    <t>IVONNE</t>
  </si>
  <si>
    <t>HERACLIO</t>
  </si>
  <si>
    <t>MARCO</t>
  </si>
  <si>
    <t>ADRIAN</t>
  </si>
  <si>
    <t>ALVARO</t>
  </si>
  <si>
    <t>NELSON</t>
  </si>
  <si>
    <t>MICHAEL</t>
  </si>
  <si>
    <t>ROSITSA</t>
  </si>
  <si>
    <t>VICTORIA</t>
  </si>
  <si>
    <t>YASMINA</t>
  </si>
  <si>
    <t>RUYMÁN</t>
  </si>
  <si>
    <t>RAYCO</t>
  </si>
  <si>
    <t>ADAY</t>
  </si>
  <si>
    <t>YOSIMAR</t>
  </si>
  <si>
    <t>FRANK</t>
  </si>
  <si>
    <t>JULIANA</t>
  </si>
  <si>
    <t>FERNANDO</t>
  </si>
  <si>
    <t>LAMIN</t>
  </si>
  <si>
    <t>MARIA CARMEN</t>
  </si>
  <si>
    <t>ROBERTO</t>
  </si>
  <si>
    <t>JOSÉ JUAN</t>
  </si>
  <si>
    <t>JUAN JOSÉ</t>
  </si>
  <si>
    <t>NINO</t>
  </si>
  <si>
    <t>JOSÉ LUIS</t>
  </si>
  <si>
    <t>JUAN RAFAEL</t>
  </si>
  <si>
    <t>Mª LUISA</t>
  </si>
  <si>
    <t>PACO</t>
  </si>
  <si>
    <t>JUAN MA</t>
  </si>
  <si>
    <t>Mª NIEVES</t>
  </si>
  <si>
    <t>Mª DOLORES</t>
  </si>
  <si>
    <t>FRAN</t>
  </si>
  <si>
    <t>LUISINA</t>
  </si>
  <si>
    <t>ROSA DELIA</t>
  </si>
  <si>
    <t>CHAGO</t>
  </si>
  <si>
    <t>JOSE ANGEL</t>
  </si>
  <si>
    <t>FRANCIS</t>
  </si>
  <si>
    <t>GUIOMAR</t>
  </si>
  <si>
    <t>GUIOMAR TOVAR MOLINA</t>
  </si>
  <si>
    <t>ALEX ANGEL</t>
  </si>
  <si>
    <t>número empleado</t>
  </si>
  <si>
    <t>sindical</t>
  </si>
  <si>
    <t>sI</t>
  </si>
  <si>
    <t>si</t>
  </si>
  <si>
    <t>oficial 2</t>
  </si>
  <si>
    <t>dirección financiera</t>
  </si>
  <si>
    <t>gestion + rrhh</t>
  </si>
  <si>
    <t>jefa administración</t>
  </si>
  <si>
    <t>jefa opfh</t>
  </si>
  <si>
    <t>oficial administrativo</t>
  </si>
  <si>
    <t>jefa contabilidad</t>
  </si>
  <si>
    <t>auxiliar administrativo</t>
  </si>
  <si>
    <t>capataz</t>
  </si>
  <si>
    <t>Director General</t>
  </si>
  <si>
    <t>Director técnico</t>
  </si>
  <si>
    <t>tecnico</t>
  </si>
  <si>
    <t>encargado general</t>
  </si>
  <si>
    <t>encargado</t>
  </si>
  <si>
    <t>empaquetador</t>
  </si>
  <si>
    <t>peon</t>
  </si>
  <si>
    <t>carretillero</t>
  </si>
  <si>
    <t>encargada maquinas</t>
  </si>
  <si>
    <t>calidad</t>
  </si>
  <si>
    <t>ayudante de maquinas</t>
  </si>
  <si>
    <t>expediciones</t>
  </si>
  <si>
    <t>peon - delegada</t>
  </si>
  <si>
    <t>oficial 3</t>
  </si>
  <si>
    <t>maquinista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</si>
</sst>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###,###,##\-#"/>
  </numFmts>
  <fonts count="21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20" fillId="0" borderId="0" applyFont="0" applyFill="0" applyBorder="0" applyAlignment="0" applyProtection="0"/>
  </cellStyleXfs>
  <cellXfs count="2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4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12" fillId="0" borderId="3" xfId="2" applyFont="1" applyBorder="1" applyAlignment="1" applyProtection="1">
      <alignment vertical="center"/>
    </xf>
    <xf numFmtId="0" fontId="10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4" xfId="2" applyFont="1" applyBorder="1" applyAlignment="1" applyProtection="1">
      <alignment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4" xfId="3" applyBorder="1" applyAlignment="1">
      <alignment horizontal="center" vertical="center" wrapText="1"/>
    </xf>
    <xf numFmtId="14" fontId="6" fillId="0" borderId="4" xfId="3" applyNumberFormat="1" applyBorder="1" applyAlignment="1">
      <alignment horizontal="center" vertical="center" wrapText="1"/>
    </xf>
    <xf numFmtId="1" fontId="6" fillId="0" borderId="4" xfId="3" applyNumberFormat="1" applyBorder="1" applyAlignment="1">
      <alignment horizontal="center" vertical="center" wrapText="1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14" fontId="10" fillId="0" borderId="4" xfId="0" applyNumberFormat="1" applyFont="1" applyBorder="1" applyAlignment="1">
      <alignment vertical="center"/>
    </xf>
    <xf numFmtId="165" fontId="9" fillId="0" borderId="4" xfId="0" applyNumberFormat="1" applyFont="1" applyBorder="1" applyAlignment="1">
      <alignment horizontal="center" vertical="center"/>
    </xf>
    <xf numFmtId="165" fontId="6" fillId="0" borderId="4" xfId="1" applyNumberFormat="1" applyBorder="1" applyAlignment="1">
      <alignment horizontal="center" vertical="center" wrapText="1"/>
    </xf>
    <xf numFmtId="14" fontId="6" fillId="0" borderId="4" xfId="1" applyNumberFormat="1" applyBorder="1" applyAlignment="1">
      <alignment horizontal="center" vertical="center" wrapText="1"/>
    </xf>
    <xf numFmtId="1" fontId="6" fillId="0" borderId="4" xfId="1" applyNumberFormat="1" applyBorder="1" applyAlignment="1">
      <alignment horizontal="center" vertical="center" wrapText="1"/>
    </xf>
    <xf numFmtId="0" fontId="6" fillId="0" borderId="8" xfId="3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2" fillId="0" borderId="9" xfId="2" applyFont="1" applyBorder="1" applyAlignment="1" applyProtection="1">
      <alignment vertical="center"/>
    </xf>
    <xf numFmtId="0" fontId="11" fillId="0" borderId="4" xfId="2" applyBorder="1" applyAlignment="1" applyProtection="1">
      <alignment vertical="center"/>
    </xf>
    <xf numFmtId="0" fontId="9" fillId="0" borderId="4" xfId="0" applyFont="1" applyBorder="1"/>
    <xf numFmtId="0" fontId="11" fillId="0" borderId="4" xfId="2" applyBorder="1" applyAlignment="1" applyProtection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0" fontId="15" fillId="0" borderId="4" xfId="0" applyFont="1" applyBorder="1"/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/>
    <xf numFmtId="0" fontId="16" fillId="0" borderId="7" xfId="0" applyFont="1" applyBorder="1" applyAlignment="1">
      <alignment horizontal="right" vertical="center" wrapText="1"/>
    </xf>
    <xf numFmtId="0" fontId="15" fillId="3" borderId="4" xfId="0" applyFont="1" applyFill="1" applyBorder="1"/>
    <xf numFmtId="0" fontId="8" fillId="2" borderId="4" xfId="0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14" fontId="9" fillId="0" borderId="4" xfId="3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9" fillId="0" borderId="3" xfId="3" applyNumberFormat="1" applyFont="1" applyBorder="1" applyAlignment="1">
      <alignment horizontal="center" vertical="center" wrapText="1"/>
    </xf>
    <xf numFmtId="0" fontId="9" fillId="2" borderId="4" xfId="0" applyFont="1" applyFill="1" applyBorder="1"/>
    <xf numFmtId="0" fontId="10" fillId="0" borderId="10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right"/>
    </xf>
    <xf numFmtId="0" fontId="16" fillId="0" borderId="4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0" fillId="0" borderId="14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4" fontId="9" fillId="0" borderId="11" xfId="3" applyNumberFormat="1" applyFont="1" applyBorder="1" applyAlignment="1">
      <alignment horizontal="center" vertical="center" wrapText="1"/>
    </xf>
    <xf numFmtId="0" fontId="11" fillId="0" borderId="4" xfId="2" applyBorder="1" applyAlignment="1" applyProtection="1"/>
    <xf numFmtId="0" fontId="11" fillId="0" borderId="4" xfId="2" applyFill="1" applyBorder="1" applyAlignment="1" applyProtection="1">
      <alignment vertical="center"/>
    </xf>
    <xf numFmtId="0" fontId="9" fillId="0" borderId="8" xfId="0" applyFont="1" applyBorder="1" applyAlignment="1">
      <alignment horizontal="center" vertical="center"/>
    </xf>
    <xf numFmtId="1" fontId="9" fillId="0" borderId="3" xfId="3" applyNumberFormat="1" applyFont="1" applyBorder="1" applyAlignment="1">
      <alignment horizontal="center" vertical="center" wrapText="1"/>
    </xf>
    <xf numFmtId="1" fontId="9" fillId="0" borderId="4" xfId="3" applyNumberFormat="1" applyFont="1" applyBorder="1" applyAlignment="1">
      <alignment horizontal="center" vertical="center" wrapText="1"/>
    </xf>
    <xf numFmtId="1" fontId="9" fillId="0" borderId="5" xfId="3" applyNumberFormat="1" applyFont="1" applyBorder="1" applyAlignment="1">
      <alignment horizontal="center" vertical="center" wrapText="1"/>
    </xf>
    <xf numFmtId="0" fontId="19" fillId="0" borderId="4" xfId="0" applyFont="1" applyBorder="1"/>
    <xf numFmtId="0" fontId="8" fillId="0" borderId="4" xfId="0" applyFont="1" applyBorder="1"/>
    <xf numFmtId="0" fontId="9" fillId="0" borderId="0" xfId="0" applyFont="1" applyAlignment="1">
      <alignment horizontal="center"/>
    </xf>
    <xf numFmtId="49" fontId="16" fillId="0" borderId="0" xfId="0" applyNumberFormat="1" applyFont="1" applyAlignment="1">
      <alignment horizontal="left"/>
    </xf>
    <xf numFmtId="49" fontId="11" fillId="0" borderId="0" xfId="2" applyNumberFormat="1" applyBorder="1" applyAlignment="1" applyProtection="1"/>
    <xf numFmtId="14" fontId="10" fillId="2" borderId="4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49" fontId="0" fillId="0" borderId="0" xfId="0" applyNumberFormat="1"/>
    <xf numFmtId="0" fontId="16" fillId="0" borderId="4" xfId="0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left"/>
    </xf>
    <xf numFmtId="14" fontId="10" fillId="0" borderId="4" xfId="0" applyNumberFormat="1" applyFont="1" applyBorder="1" applyAlignment="1">
      <alignment horizontal="right"/>
    </xf>
    <xf numFmtId="14" fontId="9" fillId="2" borderId="4" xfId="3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right"/>
    </xf>
    <xf numFmtId="0" fontId="11" fillId="2" borderId="4" xfId="2" applyFill="1" applyBorder="1" applyAlignment="1" applyProtection="1">
      <alignment vertical="center"/>
    </xf>
    <xf numFmtId="1" fontId="9" fillId="2" borderId="4" xfId="3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4" fontId="9" fillId="0" borderId="4" xfId="0" applyNumberFormat="1" applyFont="1" applyBorder="1" applyAlignment="1">
      <alignment horizontal="left"/>
    </xf>
    <xf numFmtId="14" fontId="9" fillId="0" borderId="3" xfId="0" applyNumberFormat="1" applyFont="1" applyBorder="1" applyAlignment="1">
      <alignment horizontal="left"/>
    </xf>
    <xf numFmtId="0" fontId="9" fillId="0" borderId="4" xfId="4" applyNumberFormat="1" applyFont="1" applyBorder="1" applyAlignment="1">
      <alignment horizontal="center" vertical="center"/>
    </xf>
    <xf numFmtId="0" fontId="9" fillId="0" borderId="4" xfId="4" applyNumberFormat="1" applyFont="1" applyFill="1" applyBorder="1" applyAlignment="1">
      <alignment horizontal="center" vertical="center"/>
    </xf>
    <xf numFmtId="14" fontId="10" fillId="0" borderId="8" xfId="0" applyNumberFormat="1" applyFont="1" applyBorder="1" applyAlignment="1">
      <alignment horizontal="right"/>
    </xf>
    <xf numFmtId="49" fontId="10" fillId="0" borderId="4" xfId="0" applyNumberFormat="1" applyFont="1" applyBorder="1"/>
    <xf numFmtId="49" fontId="11" fillId="0" borderId="4" xfId="2" applyNumberFormat="1" applyBorder="1" applyAlignment="1" applyProtection="1"/>
    <xf numFmtId="0" fontId="9" fillId="0" borderId="4" xfId="0" applyFont="1" applyBorder="1" applyAlignment="1" applyProtection="1">
      <alignment horizontal="left" vertical="center"/>
      <protection locked="0"/>
    </xf>
    <xf numFmtId="0" fontId="9" fillId="2" borderId="4" xfId="0" applyFont="1" applyFill="1" applyBorder="1" applyAlignment="1">
      <alignment horizontal="center" vertical="center"/>
    </xf>
    <xf numFmtId="0" fontId="14" fillId="0" borderId="8" xfId="3" applyFont="1" applyBorder="1" applyAlignment="1">
      <alignment vertical="center" wrapText="1"/>
    </xf>
    <xf numFmtId="0" fontId="14" fillId="0" borderId="4" xfId="0" applyFont="1" applyBorder="1"/>
    <xf numFmtId="0" fontId="9" fillId="0" borderId="1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/>
    <xf numFmtId="0" fontId="8" fillId="4" borderId="4" xfId="0" applyFont="1" applyFill="1" applyBorder="1" applyAlignment="1">
      <alignment vertical="center"/>
    </xf>
    <xf numFmtId="0" fontId="9" fillId="4" borderId="8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14" fontId="9" fillId="4" borderId="4" xfId="0" applyNumberFormat="1" applyFont="1" applyFill="1" applyBorder="1" applyAlignment="1">
      <alignment horizontal="center" vertical="center"/>
    </xf>
    <xf numFmtId="1" fontId="9" fillId="4" borderId="4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14" fontId="9" fillId="4" borderId="3" xfId="0" applyNumberFormat="1" applyFont="1" applyFill="1" applyBorder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12" fillId="4" borderId="4" xfId="2" applyFont="1" applyFill="1" applyBorder="1" applyAlignment="1" applyProtection="1">
      <alignment vertical="center"/>
    </xf>
    <xf numFmtId="0" fontId="10" fillId="4" borderId="0" xfId="0" applyFont="1" applyFill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3" fillId="4" borderId="4" xfId="2" applyFont="1" applyFill="1" applyBorder="1" applyAlignment="1" applyProtection="1">
      <alignment vertical="center"/>
    </xf>
    <xf numFmtId="0" fontId="11" fillId="4" borderId="4" xfId="2" applyFill="1" applyBorder="1" applyAlignment="1" applyProtection="1">
      <alignment vertical="center"/>
    </xf>
    <xf numFmtId="0" fontId="16" fillId="4" borderId="4" xfId="0" applyFont="1" applyFill="1" applyBorder="1" applyAlignment="1">
      <alignment horizontal="left"/>
    </xf>
    <xf numFmtId="0" fontId="11" fillId="4" borderId="0" xfId="2" applyFill="1" applyAlignment="1" applyProtection="1"/>
    <xf numFmtId="0" fontId="8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14" fontId="10" fillId="4" borderId="9" xfId="0" applyNumberFormat="1" applyFont="1" applyFill="1" applyBorder="1" applyAlignment="1">
      <alignment horizontal="center" vertical="center"/>
    </xf>
    <xf numFmtId="1" fontId="10" fillId="4" borderId="9" xfId="0" applyNumberFormat="1" applyFont="1" applyFill="1" applyBorder="1" applyAlignment="1">
      <alignment horizontal="center" vertical="center"/>
    </xf>
    <xf numFmtId="14" fontId="9" fillId="4" borderId="11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left" vertical="center" wrapText="1"/>
    </xf>
    <xf numFmtId="0" fontId="12" fillId="4" borderId="9" xfId="2" applyFont="1" applyFill="1" applyBorder="1" applyAlignment="1" applyProtection="1">
      <alignment vertical="center"/>
    </xf>
    <xf numFmtId="0" fontId="6" fillId="4" borderId="8" xfId="3" applyFill="1" applyBorder="1" applyAlignment="1">
      <alignment vertical="center" wrapText="1"/>
    </xf>
    <xf numFmtId="0" fontId="6" fillId="4" borderId="4" xfId="3" applyFill="1" applyBorder="1" applyAlignment="1">
      <alignment horizontal="center" vertical="center" wrapText="1"/>
    </xf>
    <xf numFmtId="14" fontId="6" fillId="4" borderId="4" xfId="3" applyNumberFormat="1" applyFill="1" applyBorder="1" applyAlignment="1">
      <alignment horizontal="center" vertical="center" wrapText="1"/>
    </xf>
    <xf numFmtId="1" fontId="6" fillId="4" borderId="4" xfId="3" applyNumberFormat="1" applyFill="1" applyBorder="1" applyAlignment="1">
      <alignment horizontal="center" vertical="center" wrapText="1"/>
    </xf>
    <xf numFmtId="1" fontId="9" fillId="4" borderId="5" xfId="3" applyNumberFormat="1" applyFont="1" applyFill="1" applyBorder="1" applyAlignment="1">
      <alignment horizontal="center" vertical="center" wrapText="1"/>
    </xf>
    <xf numFmtId="14" fontId="9" fillId="4" borderId="4" xfId="3" applyNumberFormat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right"/>
    </xf>
    <xf numFmtId="0" fontId="15" fillId="4" borderId="4" xfId="0" applyFont="1" applyFill="1" applyBorder="1" applyAlignment="1">
      <alignment horizontal="right"/>
    </xf>
    <xf numFmtId="0" fontId="11" fillId="4" borderId="4" xfId="2" applyFill="1" applyBorder="1" applyAlignment="1" applyProtection="1">
      <alignment horizontal="left" vertical="center"/>
    </xf>
    <xf numFmtId="0" fontId="14" fillId="4" borderId="8" xfId="3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/>
    </xf>
    <xf numFmtId="0" fontId="6" fillId="5" borderId="8" xfId="3" applyFill="1" applyBorder="1" applyAlignment="1">
      <alignment vertical="center" wrapText="1"/>
    </xf>
    <xf numFmtId="0" fontId="6" fillId="5" borderId="4" xfId="3" applyFill="1" applyBorder="1" applyAlignment="1">
      <alignment horizontal="center" vertical="center" wrapText="1"/>
    </xf>
    <xf numFmtId="14" fontId="6" fillId="5" borderId="4" xfId="3" applyNumberFormat="1" applyFill="1" applyBorder="1" applyAlignment="1">
      <alignment horizontal="center" vertical="center" wrapText="1"/>
    </xf>
    <xf numFmtId="1" fontId="6" fillId="5" borderId="4" xfId="3" applyNumberFormat="1" applyFill="1" applyBorder="1" applyAlignment="1">
      <alignment horizontal="center" vertical="center" wrapText="1"/>
    </xf>
    <xf numFmtId="1" fontId="9" fillId="5" borderId="5" xfId="3" applyNumberFormat="1" applyFont="1" applyFill="1" applyBorder="1" applyAlignment="1">
      <alignment horizontal="center" vertical="center" wrapText="1"/>
    </xf>
    <xf numFmtId="14" fontId="9" fillId="5" borderId="4" xfId="3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right"/>
    </xf>
    <xf numFmtId="0" fontId="12" fillId="5" borderId="4" xfId="2" applyFont="1" applyFill="1" applyBorder="1" applyAlignment="1" applyProtection="1">
      <alignment vertical="center"/>
    </xf>
    <xf numFmtId="0" fontId="10" fillId="5" borderId="0" xfId="0" applyFont="1" applyFill="1" applyAlignment="1">
      <alignment vertical="center"/>
    </xf>
    <xf numFmtId="0" fontId="9" fillId="4" borderId="8" xfId="0" applyFont="1" applyFill="1" applyBorder="1" applyAlignment="1">
      <alignment vertical="center"/>
    </xf>
    <xf numFmtId="0" fontId="16" fillId="4" borderId="0" xfId="0" applyFont="1" applyFill="1" applyAlignment="1">
      <alignment horizontal="right" wrapText="1"/>
    </xf>
    <xf numFmtId="49" fontId="11" fillId="4" borderId="4" xfId="2" applyNumberFormat="1" applyFill="1" applyBorder="1" applyAlignment="1" applyProtection="1"/>
    <xf numFmtId="0" fontId="9" fillId="5" borderId="8" xfId="0" applyFont="1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1" fontId="10" fillId="5" borderId="4" xfId="0" applyNumberFormat="1" applyFont="1" applyFill="1" applyBorder="1" applyAlignment="1">
      <alignment horizontal="center" vertical="center"/>
    </xf>
    <xf numFmtId="0" fontId="15" fillId="4" borderId="4" xfId="0" applyFont="1" applyFill="1" applyBorder="1"/>
    <xf numFmtId="0" fontId="3" fillId="4" borderId="0" xfId="0" applyFont="1" applyFill="1" applyAlignment="1">
      <alignment vertical="center"/>
    </xf>
    <xf numFmtId="0" fontId="14" fillId="4" borderId="8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15" fillId="4" borderId="4" xfId="0" applyFont="1" applyFill="1" applyBorder="1" applyAlignment="1">
      <alignment horizontal="right" wrapText="1"/>
    </xf>
    <xf numFmtId="0" fontId="11" fillId="4" borderId="0" xfId="2" applyFill="1" applyBorder="1" applyAlignment="1" applyProtection="1">
      <alignment vertical="center"/>
    </xf>
    <xf numFmtId="0" fontId="8" fillId="4" borderId="7" xfId="0" applyFont="1" applyFill="1" applyBorder="1" applyAlignment="1">
      <alignment vertical="center"/>
    </xf>
    <xf numFmtId="0" fontId="9" fillId="4" borderId="7" xfId="0" applyFont="1" applyFill="1" applyBorder="1"/>
    <xf numFmtId="1" fontId="9" fillId="4" borderId="4" xfId="3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5" fillId="4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14" fillId="2" borderId="4" xfId="0" applyFont="1" applyFill="1" applyBorder="1"/>
    <xf numFmtId="0" fontId="6" fillId="4" borderId="8" xfId="3" applyFill="1" applyBorder="1" applyAlignment="1">
      <alignment vertical="center"/>
    </xf>
    <xf numFmtId="0" fontId="6" fillId="0" borderId="8" xfId="3" applyBorder="1" applyAlignment="1">
      <alignment vertical="center"/>
    </xf>
    <xf numFmtId="0" fontId="16" fillId="4" borderId="7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</cellXfs>
  <cellStyles count="5">
    <cellStyle name="Hipervínculo" xfId="2" builtinId="8"/>
    <cellStyle name="Millares [0]" xfId="4" builtinId="6"/>
    <cellStyle name="Normal" xfId="0" builtinId="0"/>
    <cellStyle name="Normal_Hoja1" xfId="1" xr:uid="{00000000-0005-0000-0000-000003000000}"/>
    <cellStyle name="Normal_ORDEN DE Nº_1" xfId="3" xr:uid="{00000000-0005-0000-0000-000004000000}"/>
  </cellStyles>
  <dxfs count="8"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ose_anni@hotmail.com" TargetMode="External"/><Relationship Id="rId21" Type="http://schemas.openxmlformats.org/officeDocument/2006/relationships/hyperlink" Target="mailto:estherml60@hotmail.com" TargetMode="External"/><Relationship Id="rId42" Type="http://schemas.openxmlformats.org/officeDocument/2006/relationships/hyperlink" Target="mailto:venus_aldea@hotmail.com" TargetMode="External"/><Relationship Id="rId47" Type="http://schemas.openxmlformats.org/officeDocument/2006/relationships/hyperlink" Target="mailto:carlos_goloso@hotmail.com" TargetMode="External"/><Relationship Id="rId63" Type="http://schemas.openxmlformats.org/officeDocument/2006/relationships/hyperlink" Target="mailto:adaycubas@hotmail.com" TargetMode="External"/><Relationship Id="rId68" Type="http://schemas.openxmlformats.org/officeDocument/2006/relationships/hyperlink" Target="mailto:one_sorni@hotmail.com" TargetMode="External"/><Relationship Id="rId84" Type="http://schemas.openxmlformats.org/officeDocument/2006/relationships/hyperlink" Target="mailto:naomipadronmartin@gmail.com" TargetMode="External"/><Relationship Id="rId89" Type="http://schemas.openxmlformats.org/officeDocument/2006/relationships/hyperlink" Target="mailto:the_s.a@hotmail.com" TargetMode="External"/><Relationship Id="rId16" Type="http://schemas.openxmlformats.org/officeDocument/2006/relationships/hyperlink" Target="mailto:latijuana@hotmail.com" TargetMode="External"/><Relationship Id="rId11" Type="http://schemas.openxmlformats.org/officeDocument/2006/relationships/hyperlink" Target="mailto:atequiur@hotmail.com" TargetMode="External"/><Relationship Id="rId32" Type="http://schemas.openxmlformats.org/officeDocument/2006/relationships/hyperlink" Target="mailto:maricubasquintana3@gmail.com" TargetMode="External"/><Relationship Id="rId37" Type="http://schemas.openxmlformats.org/officeDocument/2006/relationships/hyperlink" Target="mailto:arianasuarezjimenez@gmail.com" TargetMode="External"/><Relationship Id="rId53" Type="http://schemas.openxmlformats.org/officeDocument/2006/relationships/hyperlink" Target="mailto:famohe-@hotmail.com" TargetMode="External"/><Relationship Id="rId58" Type="http://schemas.openxmlformats.org/officeDocument/2006/relationships/hyperlink" Target="mailto:macuirune@gmail.com" TargetMode="External"/><Relationship Id="rId74" Type="http://schemas.openxmlformats.org/officeDocument/2006/relationships/hyperlink" Target="mailto:ariadna.qr1997@gmail.com" TargetMode="External"/><Relationship Id="rId79" Type="http://schemas.openxmlformats.org/officeDocument/2006/relationships/hyperlink" Target="mailto:kilianguerravalenciaa@gmail.com" TargetMode="External"/><Relationship Id="rId5" Type="http://schemas.openxmlformats.org/officeDocument/2006/relationships/hyperlink" Target="mailto:mariacaa1981@gmail.com" TargetMode="External"/><Relationship Id="rId90" Type="http://schemas.openxmlformats.org/officeDocument/2006/relationships/hyperlink" Target="mailto:damasoalexandro106@gmail.com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mailto:cristinaojedaojeda14@gmail.com" TargetMode="External"/><Relationship Id="rId27" Type="http://schemas.openxmlformats.org/officeDocument/2006/relationships/hyperlink" Target="mailto:victorianavarrosuarez20011@gmail.com" TargetMode="External"/><Relationship Id="rId43" Type="http://schemas.openxmlformats.org/officeDocument/2006/relationships/hyperlink" Target="mailto:texenery97@hotmail.com" TargetMode="External"/><Relationship Id="rId48" Type="http://schemas.openxmlformats.org/officeDocument/2006/relationships/hyperlink" Target="mailto:desireegarciasuarez1109@gmail.com" TargetMode="External"/><Relationship Id="rId64" Type="http://schemas.openxmlformats.org/officeDocument/2006/relationships/hyperlink" Target="mailto:isabeljuke1@gmail.com" TargetMode="External"/><Relationship Id="rId69" Type="http://schemas.openxmlformats.org/officeDocument/2006/relationships/hyperlink" Target="mailto:fifapererasuarez@gmail.com" TargetMode="External"/><Relationship Id="rId8" Type="http://schemas.openxmlformats.org/officeDocument/2006/relationships/hyperlink" Target="mailto:luisagade@hotmail.com" TargetMode="External"/><Relationship Id="rId51" Type="http://schemas.openxmlformats.org/officeDocument/2006/relationships/hyperlink" Target="mailto:juanmanuelsuarezgarcia27@gmail.com" TargetMode="External"/><Relationship Id="rId72" Type="http://schemas.openxmlformats.org/officeDocument/2006/relationships/hyperlink" Target="mailto:yossidiazglez@gmail.com" TargetMode="External"/><Relationship Id="rId80" Type="http://schemas.openxmlformats.org/officeDocument/2006/relationships/hyperlink" Target="mailto:yarisaramirezmdn@gmail.com" TargetMode="External"/><Relationship Id="rId85" Type="http://schemas.openxmlformats.org/officeDocument/2006/relationships/hyperlink" Target="mailto:heracliollarena1989@gmail.com" TargetMode="External"/><Relationship Id="rId93" Type="http://schemas.openxmlformats.org/officeDocument/2006/relationships/hyperlink" Target="mailto:anabeljmnez@gmail.com" TargetMode="External"/><Relationship Id="rId3" Type="http://schemas.openxmlformats.org/officeDocument/2006/relationships/hyperlink" Target="mailto:elenahugo20@gmail.com" TargetMode="External"/><Relationship Id="rId12" Type="http://schemas.openxmlformats.org/officeDocument/2006/relationships/hyperlink" Target="mailto:vicgu2013@hotmail.com" TargetMode="External"/><Relationship Id="rId17" Type="http://schemas.openxmlformats.org/officeDocument/2006/relationships/hyperlink" Target="mailto:aimara.aldea@hotmail.com" TargetMode="External"/><Relationship Id="rId25" Type="http://schemas.openxmlformats.org/officeDocument/2006/relationships/hyperlink" Target="mailto:pepahoyo06@gmail.com" TargetMode="External"/><Relationship Id="rId33" Type="http://schemas.openxmlformats.org/officeDocument/2006/relationships/hyperlink" Target="mailto:mari_sosa2@hotmail.com" TargetMode="External"/><Relationship Id="rId38" Type="http://schemas.openxmlformats.org/officeDocument/2006/relationships/hyperlink" Target="mailto:rmnauzet@gmail.com" TargetMode="External"/><Relationship Id="rId46" Type="http://schemas.openxmlformats.org/officeDocument/2006/relationships/hyperlink" Target="mailto:yure.aldeana@gmail.com" TargetMode="External"/><Relationship Id="rId59" Type="http://schemas.openxmlformats.org/officeDocument/2006/relationships/hyperlink" Target="mailto:ojedarodriguezfabiola@gmail.com" TargetMode="External"/><Relationship Id="rId67" Type="http://schemas.openxmlformats.org/officeDocument/2006/relationships/hyperlink" Target="mailto:alejandrosantanapadron34@gmail.com" TargetMode="External"/><Relationship Id="rId20" Type="http://schemas.openxmlformats.org/officeDocument/2006/relationships/hyperlink" Target="mailto:deborah_98@live.com" TargetMode="External"/><Relationship Id="rId41" Type="http://schemas.openxmlformats.org/officeDocument/2006/relationships/hyperlink" Target="mailto:francisco_aldea@hotmail.es" TargetMode="External"/><Relationship Id="rId54" Type="http://schemas.openxmlformats.org/officeDocument/2006/relationships/hyperlink" Target="mailto:willyragar3@gmail.com" TargetMode="External"/><Relationship Id="rId62" Type="http://schemas.openxmlformats.org/officeDocument/2006/relationships/hyperlink" Target="mailto:bmw.rafael315@gmail.com" TargetMode="External"/><Relationship Id="rId70" Type="http://schemas.openxmlformats.org/officeDocument/2006/relationships/hyperlink" Target="mailto:isabelmondel62@gmail.com" TargetMode="External"/><Relationship Id="rId75" Type="http://schemas.openxmlformats.org/officeDocument/2006/relationships/hyperlink" Target="mailto:eiden140318@gmail.com" TargetMode="External"/><Relationship Id="rId83" Type="http://schemas.openxmlformats.org/officeDocument/2006/relationships/hyperlink" Target="mailto:ivonmanduley.25@icloud.com" TargetMode="External"/><Relationship Id="rId88" Type="http://schemas.openxmlformats.org/officeDocument/2006/relationships/hyperlink" Target="mailto:nelsonbolanos46@gmail.com" TargetMode="External"/><Relationship Id="rId91" Type="http://schemas.openxmlformats.org/officeDocument/2006/relationships/hyperlink" Target="mailto:nayra.diepa@gmail.com" TargetMode="External"/><Relationship Id="rId1" Type="http://schemas.openxmlformats.org/officeDocument/2006/relationships/hyperlink" Target="mailto:hectorfarimontesdeoca@gmail.com" TargetMode="External"/><Relationship Id="rId6" Type="http://schemas.openxmlformats.org/officeDocument/2006/relationships/hyperlink" Target="mailto:manolo@coagrisan.com" TargetMode="External"/><Relationship Id="rId15" Type="http://schemas.openxmlformats.org/officeDocument/2006/relationships/hyperlink" Target="mailto:nievesquintanas@gmail.com" TargetMode="External"/><Relationship Id="rId23" Type="http://schemas.openxmlformats.org/officeDocument/2006/relationships/hyperlink" Target="mailto:distinto84@gmail.com" TargetMode="External"/><Relationship Id="rId28" Type="http://schemas.openxmlformats.org/officeDocument/2006/relationships/hyperlink" Target="mailto:rosatonche79@gmail.com" TargetMode="External"/><Relationship Id="rId36" Type="http://schemas.openxmlformats.org/officeDocument/2006/relationships/hyperlink" Target="mailto:melquiel@hotmail.com" TargetMode="External"/><Relationship Id="rId49" Type="http://schemas.openxmlformats.org/officeDocument/2006/relationships/hyperlink" Target="mailto:davidadesi10@gmail.com" TargetMode="External"/><Relationship Id="rId57" Type="http://schemas.openxmlformats.org/officeDocument/2006/relationships/hyperlink" Target="mailto:beatrizyudelys@gmail.com" TargetMode="External"/><Relationship Id="rId10" Type="http://schemas.openxmlformats.org/officeDocument/2006/relationships/hyperlink" Target="mailto:yamiyosi@hotmail.es" TargetMode="External"/><Relationship Id="rId31" Type="http://schemas.openxmlformats.org/officeDocument/2006/relationships/hyperlink" Target="mailto:ojedaojedafranciscamaria@gmail.com" TargetMode="External"/><Relationship Id="rId44" Type="http://schemas.openxmlformats.org/officeDocument/2006/relationships/hyperlink" Target="mailto:almeidavegadomingo@gmail.com" TargetMode="External"/><Relationship Id="rId52" Type="http://schemas.openxmlformats.org/officeDocument/2006/relationships/hyperlink" Target="mailto:leyvaionne@hotmail.com" TargetMode="External"/><Relationship Id="rId60" Type="http://schemas.openxmlformats.org/officeDocument/2006/relationships/hyperlink" Target="mailto:claudia148@gmail.com" TargetMode="External"/><Relationship Id="rId65" Type="http://schemas.openxmlformats.org/officeDocument/2006/relationships/hyperlink" Target="mailto:rllguayarmina@gmail.com" TargetMode="External"/><Relationship Id="rId73" Type="http://schemas.openxmlformats.org/officeDocument/2006/relationships/hyperlink" Target="mailto:one_sorni@hotmail.com" TargetMode="External"/><Relationship Id="rId78" Type="http://schemas.openxmlformats.org/officeDocument/2006/relationships/hyperlink" Target="mailto:castellanooctavio03@gmail.com" TargetMode="External"/><Relationship Id="rId81" Type="http://schemas.openxmlformats.org/officeDocument/2006/relationships/hyperlink" Target="mailto:eliseo.quintana@hotmail.com" TargetMode="External"/><Relationship Id="rId86" Type="http://schemas.openxmlformats.org/officeDocument/2006/relationships/hyperlink" Target="mailto:4lv4ro.miranda@gmail.com" TargetMode="External"/><Relationship Id="rId94" Type="http://schemas.openxmlformats.org/officeDocument/2006/relationships/hyperlink" Target="mailto:carmelofuentesaldea@gmail.com" TargetMode="External"/><Relationship Id="rId4" Type="http://schemas.openxmlformats.org/officeDocument/2006/relationships/hyperlink" Target="mailto:alymohamedlemine33@gmail.com" TargetMode="External"/><Relationship Id="rId9" Type="http://schemas.openxmlformats.org/officeDocument/2006/relationships/hyperlink" Target="mailto:ylenia_50@hotmail.com" TargetMode="External"/><Relationship Id="rId13" Type="http://schemas.openxmlformats.org/officeDocument/2006/relationships/hyperlink" Target="mailto:raicohesu@gmail.com" TargetMode="External"/><Relationship Id="rId18" Type="http://schemas.openxmlformats.org/officeDocument/2006/relationships/hyperlink" Target="mailto:roberto@coagrisan.com" TargetMode="External"/><Relationship Id="rId39" Type="http://schemas.openxmlformats.org/officeDocument/2006/relationships/hyperlink" Target="mailto:elimaysar@hotmail.com" TargetMode="External"/><Relationship Id="rId34" Type="http://schemas.openxmlformats.org/officeDocument/2006/relationships/hyperlink" Target="mailto:romandigi@telefonica.net" TargetMode="External"/><Relationship Id="rId50" Type="http://schemas.openxmlformats.org/officeDocument/2006/relationships/hyperlink" Target="mailto:maria.masr53@gmail.com" TargetMode="External"/><Relationship Id="rId55" Type="http://schemas.openxmlformats.org/officeDocument/2006/relationships/hyperlink" Target="mailto:tania_lp88@hotmail.es" TargetMode="External"/><Relationship Id="rId76" Type="http://schemas.openxmlformats.org/officeDocument/2006/relationships/hyperlink" Target="mailto:hipolitomoralesvalencia@gmail.com" TargetMode="External"/><Relationship Id="rId7" Type="http://schemas.openxmlformats.org/officeDocument/2006/relationships/hyperlink" Target="mailto:yeraari@hotmail.com" TargetMode="External"/><Relationship Id="rId71" Type="http://schemas.openxmlformats.org/officeDocument/2006/relationships/hyperlink" Target="mailto:nikira23@hotmail.com" TargetMode="External"/><Relationship Id="rId92" Type="http://schemas.openxmlformats.org/officeDocument/2006/relationships/hyperlink" Target="mailto:mariadelasnievescubasjimenez@gmail.com" TargetMode="External"/><Relationship Id="rId2" Type="http://schemas.openxmlformats.org/officeDocument/2006/relationships/hyperlink" Target="mailto:yenicubassosa@gmail.com" TargetMode="External"/><Relationship Id="rId29" Type="http://schemas.openxmlformats.org/officeDocument/2006/relationships/hyperlink" Target="mailto:melaniaaldea121297@gmail.com" TargetMode="External"/><Relationship Id="rId24" Type="http://schemas.openxmlformats.org/officeDocument/2006/relationships/hyperlink" Target="mailto:natividadsegura8@gmail.com" TargetMode="External"/><Relationship Id="rId40" Type="http://schemas.openxmlformats.org/officeDocument/2006/relationships/hyperlink" Target="mailto:marcelo@coagrisan.com" TargetMode="External"/><Relationship Id="rId45" Type="http://schemas.openxmlformats.org/officeDocument/2006/relationships/hyperlink" Target="mailto:abel_1965@hotmail.es" TargetMode="External"/><Relationship Id="rId66" Type="http://schemas.openxmlformats.org/officeDocument/2006/relationships/hyperlink" Target="mailto:alejandro.sosa.suarez.1987@gmail.com" TargetMode="External"/><Relationship Id="rId87" Type="http://schemas.openxmlformats.org/officeDocument/2006/relationships/hyperlink" Target="mailto:adrianmirandapadron@gmail.com" TargetMode="External"/><Relationship Id="rId61" Type="http://schemas.openxmlformats.org/officeDocument/2006/relationships/hyperlink" Target="mailto:franciscojavierespinoojeda@gmail.com" TargetMode="External"/><Relationship Id="rId82" Type="http://schemas.openxmlformats.org/officeDocument/2006/relationships/hyperlink" Target="mailto:santimh42@gmail.com" TargetMode="External"/><Relationship Id="rId19" Type="http://schemas.openxmlformats.org/officeDocument/2006/relationships/hyperlink" Target="mailto:yerobeesmeralda@gmail.com" TargetMode="External"/><Relationship Id="rId14" Type="http://schemas.openxmlformats.org/officeDocument/2006/relationships/hyperlink" Target="mailto:zenaidamv@hotmail.com" TargetMode="External"/><Relationship Id="rId30" Type="http://schemas.openxmlformats.org/officeDocument/2006/relationships/hyperlink" Target="mailto:luisinasegura1964@gmail.com" TargetMode="External"/><Relationship Id="rId35" Type="http://schemas.openxmlformats.org/officeDocument/2006/relationships/hyperlink" Target="mailto:rosa@coagrisan.com" TargetMode="External"/><Relationship Id="rId56" Type="http://schemas.openxmlformats.org/officeDocument/2006/relationships/hyperlink" Target="mailto:yasminasuarezojeda@gmail.com" TargetMode="External"/><Relationship Id="rId77" Type="http://schemas.openxmlformats.org/officeDocument/2006/relationships/hyperlink" Target="mailto:mesadasegura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7"/>
  <sheetViews>
    <sheetView tabSelected="1" topLeftCell="A2" zoomScale="180" zoomScaleNormal="180" workbookViewId="0">
      <selection activeCell="B5" sqref="B5"/>
    </sheetView>
  </sheetViews>
  <sheetFormatPr baseColWidth="10" defaultRowHeight="18.75" customHeight="1" x14ac:dyDescent="0.25"/>
  <cols>
    <col min="1" max="1" width="10.7109375" style="1" customWidth="1"/>
    <col min="2" max="2" width="16.5703125" style="1" customWidth="1"/>
    <col min="3" max="3" width="27.28515625" style="4" customWidth="1"/>
    <col min="4" max="4" width="13.5703125" style="3" customWidth="1"/>
    <col min="5" max="5" width="15.42578125" style="4" customWidth="1"/>
    <col min="6" max="6" width="10.85546875" style="3" customWidth="1"/>
    <col min="7" max="7" width="10.140625" style="3" hidden="1" customWidth="1"/>
    <col min="8" max="8" width="6.85546875" style="3" hidden="1" customWidth="1"/>
    <col min="9" max="9" width="10.7109375" style="68" customWidth="1"/>
    <col min="10" max="10" width="32.42578125" style="51" customWidth="1"/>
    <col min="11" max="11" width="26.85546875" style="51" customWidth="1"/>
    <col min="12" max="12" width="40.7109375" style="4" customWidth="1"/>
    <col min="13" max="13" width="19.42578125" style="4" customWidth="1"/>
    <col min="14" max="16" width="26.85546875" style="198" customWidth="1"/>
    <col min="17" max="17" width="11.42578125" style="206"/>
    <col min="18" max="16384" width="11.42578125" style="4"/>
  </cols>
  <sheetData>
    <row r="1" spans="1:17" ht="16.5" hidden="1" thickBot="1" x14ac:dyDescent="0.3">
      <c r="C1" s="5"/>
      <c r="D1" s="2"/>
      <c r="E1" s="5"/>
      <c r="F1" s="2"/>
      <c r="G1" s="2"/>
      <c r="H1" s="6">
        <v>2026</v>
      </c>
      <c r="I1" s="7"/>
      <c r="J1" s="52"/>
      <c r="K1" s="52"/>
      <c r="N1" s="191"/>
      <c r="O1" s="191"/>
      <c r="P1" s="191"/>
      <c r="Q1" s="206">
        <f>COUNTA(Q3:Q519)</f>
        <v>8</v>
      </c>
    </row>
    <row r="2" spans="1:17" s="12" customFormat="1" ht="45.75" thickBot="1" x14ac:dyDescent="0.3">
      <c r="A2" s="9" t="s">
        <v>547</v>
      </c>
      <c r="B2" s="8" t="s">
        <v>423</v>
      </c>
      <c r="C2" s="8" t="s">
        <v>0</v>
      </c>
      <c r="D2" s="8" t="s">
        <v>1</v>
      </c>
      <c r="E2" s="8" t="s">
        <v>424</v>
      </c>
      <c r="F2" s="9" t="s">
        <v>2</v>
      </c>
      <c r="G2" s="9" t="s">
        <v>3</v>
      </c>
      <c r="H2" s="9" t="s">
        <v>4</v>
      </c>
      <c r="I2" s="69" t="s">
        <v>312</v>
      </c>
      <c r="J2" s="10" t="s">
        <v>226</v>
      </c>
      <c r="K2" s="10" t="s">
        <v>269</v>
      </c>
      <c r="L2" s="11" t="s">
        <v>5</v>
      </c>
      <c r="M2" s="189" t="s">
        <v>426</v>
      </c>
      <c r="N2" s="10" t="s">
        <v>425</v>
      </c>
      <c r="O2" s="10" t="s">
        <v>441</v>
      </c>
      <c r="P2" s="10" t="s">
        <v>440</v>
      </c>
      <c r="Q2" s="207" t="s">
        <v>548</v>
      </c>
    </row>
    <row r="3" spans="1:17" s="131" customFormat="1" ht="18.75" customHeight="1" x14ac:dyDescent="0.25">
      <c r="A3" s="133"/>
      <c r="B3" s="133"/>
      <c r="C3" s="119" t="s">
        <v>6</v>
      </c>
      <c r="D3" s="120" t="s">
        <v>7</v>
      </c>
      <c r="E3" s="119" t="s">
        <v>448</v>
      </c>
      <c r="F3" s="121">
        <v>26113</v>
      </c>
      <c r="G3" s="122">
        <v>1971</v>
      </c>
      <c r="H3" s="123">
        <f t="shared" ref="H3:H34" si="0">($H$1-G3)</f>
        <v>55</v>
      </c>
      <c r="I3" s="124"/>
      <c r="J3" s="128" t="s">
        <v>282</v>
      </c>
      <c r="K3" s="129" t="s">
        <v>296</v>
      </c>
      <c r="L3" s="130" t="s">
        <v>8</v>
      </c>
      <c r="M3" s="190" t="s">
        <v>427</v>
      </c>
      <c r="N3" s="193" t="s">
        <v>431</v>
      </c>
      <c r="O3" s="193"/>
      <c r="P3" s="205" t="s">
        <v>436</v>
      </c>
      <c r="Q3" s="208"/>
    </row>
    <row r="4" spans="1:17" s="131" customFormat="1" ht="18.75" customHeight="1" x14ac:dyDescent="0.25">
      <c r="A4" s="133">
        <v>30005</v>
      </c>
      <c r="B4" s="133">
        <v>2347621520</v>
      </c>
      <c r="C4" s="119" t="s">
        <v>9</v>
      </c>
      <c r="D4" s="120" t="s">
        <v>10</v>
      </c>
      <c r="E4" s="119" t="s">
        <v>449</v>
      </c>
      <c r="F4" s="121">
        <v>24721</v>
      </c>
      <c r="G4" s="122">
        <v>1967</v>
      </c>
      <c r="H4" s="123">
        <f t="shared" si="0"/>
        <v>59</v>
      </c>
      <c r="I4" s="124">
        <v>32792</v>
      </c>
      <c r="J4" s="128" t="s">
        <v>278</v>
      </c>
      <c r="K4" s="129" t="s">
        <v>279</v>
      </c>
      <c r="L4" s="130" t="s">
        <v>11</v>
      </c>
      <c r="M4" s="190" t="s">
        <v>427</v>
      </c>
      <c r="N4" s="193" t="s">
        <v>431</v>
      </c>
      <c r="O4" s="193" t="s">
        <v>551</v>
      </c>
      <c r="P4" s="205" t="s">
        <v>434</v>
      </c>
      <c r="Q4" s="208"/>
    </row>
    <row r="5" spans="1:17" s="18" customFormat="1" ht="18.75" customHeight="1" x14ac:dyDescent="0.25">
      <c r="A5" s="132">
        <v>30008</v>
      </c>
      <c r="B5" s="132">
        <v>2347634788</v>
      </c>
      <c r="C5" s="65" t="s">
        <v>12</v>
      </c>
      <c r="D5" s="20" t="s">
        <v>13</v>
      </c>
      <c r="E5" s="65" t="s">
        <v>450</v>
      </c>
      <c r="F5" s="21">
        <v>26831</v>
      </c>
      <c r="G5" s="22">
        <v>1973</v>
      </c>
      <c r="H5" s="15">
        <f t="shared" si="0"/>
        <v>53</v>
      </c>
      <c r="I5" s="14">
        <v>37153</v>
      </c>
      <c r="J5" s="53" t="s">
        <v>280</v>
      </c>
      <c r="K5" s="57" t="s">
        <v>297</v>
      </c>
      <c r="L5" s="26" t="s">
        <v>14</v>
      </c>
      <c r="M5" s="190" t="s">
        <v>437</v>
      </c>
      <c r="N5" s="193" t="s">
        <v>431</v>
      </c>
      <c r="O5" s="192" t="s">
        <v>552</v>
      </c>
      <c r="P5" s="205" t="s">
        <v>434</v>
      </c>
      <c r="Q5" s="206"/>
    </row>
    <row r="6" spans="1:17" s="18" customFormat="1" ht="18.75" customHeight="1" x14ac:dyDescent="0.25">
      <c r="A6" s="132">
        <v>30003</v>
      </c>
      <c r="B6" s="132">
        <v>2347640441</v>
      </c>
      <c r="C6" s="65" t="s">
        <v>15</v>
      </c>
      <c r="D6" s="20" t="s">
        <v>16</v>
      </c>
      <c r="E6" s="65" t="s">
        <v>451</v>
      </c>
      <c r="F6" s="21">
        <v>24218</v>
      </c>
      <c r="G6" s="22">
        <v>1966</v>
      </c>
      <c r="H6" s="15">
        <f t="shared" si="0"/>
        <v>60</v>
      </c>
      <c r="I6" s="14">
        <v>30341</v>
      </c>
      <c r="J6" s="53" t="s">
        <v>281</v>
      </c>
      <c r="K6" s="57" t="s">
        <v>298</v>
      </c>
      <c r="L6" s="26" t="s">
        <v>17</v>
      </c>
      <c r="M6" s="190" t="s">
        <v>437</v>
      </c>
      <c r="N6" s="193" t="s">
        <v>431</v>
      </c>
      <c r="O6" s="192" t="s">
        <v>553</v>
      </c>
      <c r="P6" s="205" t="s">
        <v>434</v>
      </c>
      <c r="Q6" s="206"/>
    </row>
    <row r="7" spans="1:17" s="18" customFormat="1" ht="18.75" customHeight="1" x14ac:dyDescent="0.25">
      <c r="A7" s="132">
        <v>30010</v>
      </c>
      <c r="B7" s="132">
        <v>2347679882</v>
      </c>
      <c r="C7" s="65" t="s">
        <v>18</v>
      </c>
      <c r="D7" s="20" t="s">
        <v>19</v>
      </c>
      <c r="E7" s="65" t="s">
        <v>451</v>
      </c>
      <c r="F7" s="21">
        <v>27778</v>
      </c>
      <c r="G7" s="22">
        <v>1976</v>
      </c>
      <c r="H7" s="15">
        <f t="shared" si="0"/>
        <v>50</v>
      </c>
      <c r="I7" s="14">
        <v>37601</v>
      </c>
      <c r="J7" s="53" t="s">
        <v>283</v>
      </c>
      <c r="K7" s="57" t="s">
        <v>299</v>
      </c>
      <c r="L7" s="26" t="s">
        <v>20</v>
      </c>
      <c r="M7" s="190" t="s">
        <v>437</v>
      </c>
      <c r="N7" s="193" t="s">
        <v>431</v>
      </c>
      <c r="O7" s="192" t="s">
        <v>554</v>
      </c>
      <c r="P7" s="205" t="s">
        <v>434</v>
      </c>
      <c r="Q7" s="206"/>
    </row>
    <row r="8" spans="1:17" s="18" customFormat="1" ht="18.75" customHeight="1" x14ac:dyDescent="0.25">
      <c r="A8" s="132">
        <v>30011</v>
      </c>
      <c r="B8" s="132">
        <v>2347632125</v>
      </c>
      <c r="C8" s="65" t="s">
        <v>21</v>
      </c>
      <c r="D8" s="20" t="s">
        <v>22</v>
      </c>
      <c r="E8" s="65" t="s">
        <v>453</v>
      </c>
      <c r="F8" s="21">
        <v>27806</v>
      </c>
      <c r="G8" s="22">
        <v>1976</v>
      </c>
      <c r="H8" s="15">
        <f t="shared" si="0"/>
        <v>50</v>
      </c>
      <c r="I8" s="14">
        <v>37601</v>
      </c>
      <c r="J8" s="53" t="s">
        <v>284</v>
      </c>
      <c r="K8" s="57" t="s">
        <v>300</v>
      </c>
      <c r="L8" s="26" t="s">
        <v>23</v>
      </c>
      <c r="M8" s="190" t="s">
        <v>427</v>
      </c>
      <c r="N8" s="193" t="s">
        <v>431</v>
      </c>
      <c r="O8" s="192" t="s">
        <v>555</v>
      </c>
      <c r="P8" s="205" t="s">
        <v>434</v>
      </c>
      <c r="Q8" s="206"/>
    </row>
    <row r="9" spans="1:17" s="18" customFormat="1" ht="18.75" customHeight="1" x14ac:dyDescent="0.25">
      <c r="A9" s="132">
        <v>30014</v>
      </c>
      <c r="B9" s="132">
        <v>2347646956</v>
      </c>
      <c r="C9" s="65" t="s">
        <v>24</v>
      </c>
      <c r="D9" s="20" t="s">
        <v>25</v>
      </c>
      <c r="E9" s="65" t="s">
        <v>526</v>
      </c>
      <c r="F9" s="21">
        <v>29647</v>
      </c>
      <c r="G9" s="22">
        <v>1987</v>
      </c>
      <c r="H9" s="15">
        <f t="shared" si="0"/>
        <v>39</v>
      </c>
      <c r="I9" s="14">
        <v>37956</v>
      </c>
      <c r="J9" s="53" t="s">
        <v>285</v>
      </c>
      <c r="K9" s="57">
        <v>679144735</v>
      </c>
      <c r="L9" s="26" t="s">
        <v>26</v>
      </c>
      <c r="M9" s="190" t="s">
        <v>427</v>
      </c>
      <c r="N9" s="193" t="s">
        <v>438</v>
      </c>
      <c r="O9" s="192" t="s">
        <v>556</v>
      </c>
      <c r="P9" s="205" t="s">
        <v>434</v>
      </c>
      <c r="Q9" s="206"/>
    </row>
    <row r="10" spans="1:17" s="131" customFormat="1" ht="18.75" customHeight="1" x14ac:dyDescent="0.25">
      <c r="A10" s="133">
        <v>30017</v>
      </c>
      <c r="B10" s="133">
        <v>2347627175</v>
      </c>
      <c r="C10" s="119" t="s">
        <v>27</v>
      </c>
      <c r="D10" s="120" t="s">
        <v>28</v>
      </c>
      <c r="E10" s="119" t="s">
        <v>455</v>
      </c>
      <c r="F10" s="121">
        <v>31199</v>
      </c>
      <c r="G10" s="122">
        <v>1985</v>
      </c>
      <c r="H10" s="123">
        <f t="shared" si="0"/>
        <v>41</v>
      </c>
      <c r="I10" s="124">
        <v>38908</v>
      </c>
      <c r="J10" s="128" t="s">
        <v>325</v>
      </c>
      <c r="K10" s="129" t="s">
        <v>301</v>
      </c>
      <c r="L10" s="136" t="s">
        <v>29</v>
      </c>
      <c r="M10" s="190" t="s">
        <v>427</v>
      </c>
      <c r="N10" s="193" t="s">
        <v>431</v>
      </c>
      <c r="O10" s="192" t="s">
        <v>556</v>
      </c>
      <c r="P10" s="205" t="s">
        <v>434</v>
      </c>
      <c r="Q10" s="208"/>
    </row>
    <row r="11" spans="1:17" s="18" customFormat="1" ht="18.75" customHeight="1" x14ac:dyDescent="0.25">
      <c r="A11" s="132">
        <v>30006</v>
      </c>
      <c r="B11" s="132">
        <v>2347621075</v>
      </c>
      <c r="C11" s="65" t="s">
        <v>30</v>
      </c>
      <c r="D11" s="20" t="s">
        <v>31</v>
      </c>
      <c r="E11" s="65" t="s">
        <v>456</v>
      </c>
      <c r="F11" s="21">
        <v>25967</v>
      </c>
      <c r="G11" s="22">
        <v>1971</v>
      </c>
      <c r="H11" s="15">
        <f t="shared" si="0"/>
        <v>55</v>
      </c>
      <c r="I11" s="14">
        <v>34295</v>
      </c>
      <c r="J11" s="53" t="s">
        <v>286</v>
      </c>
      <c r="K11" s="57" t="s">
        <v>302</v>
      </c>
      <c r="L11" s="46" t="s">
        <v>32</v>
      </c>
      <c r="M11" s="190" t="s">
        <v>427</v>
      </c>
      <c r="N11" s="193" t="s">
        <v>431</v>
      </c>
      <c r="O11" s="192" t="s">
        <v>557</v>
      </c>
      <c r="P11" s="205" t="s">
        <v>434</v>
      </c>
      <c r="Q11" s="206"/>
    </row>
    <row r="12" spans="1:17" s="131" customFormat="1" ht="18.75" customHeight="1" x14ac:dyDescent="0.25">
      <c r="A12" s="133">
        <v>30024</v>
      </c>
      <c r="B12" s="133">
        <v>2347614415</v>
      </c>
      <c r="C12" s="119" t="s">
        <v>309</v>
      </c>
      <c r="D12" s="120" t="s">
        <v>322</v>
      </c>
      <c r="E12" s="119" t="s">
        <v>457</v>
      </c>
      <c r="F12" s="121">
        <v>32584</v>
      </c>
      <c r="G12" s="122">
        <v>1989</v>
      </c>
      <c r="H12" s="123">
        <f t="shared" si="0"/>
        <v>37</v>
      </c>
      <c r="I12" s="124">
        <v>44552</v>
      </c>
      <c r="J12" s="128" t="s">
        <v>311</v>
      </c>
      <c r="K12" s="129">
        <v>657199677</v>
      </c>
      <c r="L12" s="137" t="s">
        <v>310</v>
      </c>
      <c r="M12" s="190" t="s">
        <v>427</v>
      </c>
      <c r="N12" s="193" t="s">
        <v>431</v>
      </c>
      <c r="O12" s="192" t="s">
        <v>556</v>
      </c>
      <c r="P12" s="205" t="s">
        <v>434</v>
      </c>
      <c r="Q12" s="208"/>
    </row>
    <row r="13" spans="1:17" s="131" customFormat="1" ht="18.75" customHeight="1" x14ac:dyDescent="0.25">
      <c r="A13" s="133">
        <v>30025</v>
      </c>
      <c r="B13" s="133">
        <v>2347654983</v>
      </c>
      <c r="C13" s="119" t="s">
        <v>321</v>
      </c>
      <c r="D13" s="120" t="s">
        <v>323</v>
      </c>
      <c r="E13" s="119" t="s">
        <v>458</v>
      </c>
      <c r="F13" s="121">
        <v>32498</v>
      </c>
      <c r="G13" s="122">
        <v>1988</v>
      </c>
      <c r="H13" s="123">
        <f t="shared" si="0"/>
        <v>38</v>
      </c>
      <c r="I13" s="124">
        <v>44881</v>
      </c>
      <c r="J13" s="128" t="s">
        <v>324</v>
      </c>
      <c r="K13" s="138">
        <v>644731838</v>
      </c>
      <c r="L13" s="139" t="s">
        <v>326</v>
      </c>
      <c r="M13" s="190" t="s">
        <v>427</v>
      </c>
      <c r="N13" s="193" t="s">
        <v>431</v>
      </c>
      <c r="O13" s="192" t="s">
        <v>556</v>
      </c>
      <c r="P13" s="205" t="s">
        <v>434</v>
      </c>
      <c r="Q13" s="208"/>
    </row>
    <row r="14" spans="1:17" s="18" customFormat="1" ht="18.75" customHeight="1" x14ac:dyDescent="0.25">
      <c r="A14" s="132">
        <v>30028</v>
      </c>
      <c r="B14" s="132">
        <v>2347577980</v>
      </c>
      <c r="C14" s="65" t="s">
        <v>361</v>
      </c>
      <c r="D14" s="89" t="s">
        <v>362</v>
      </c>
      <c r="E14" s="65" t="s">
        <v>459</v>
      </c>
      <c r="F14" s="98">
        <v>37334</v>
      </c>
      <c r="G14" s="22">
        <v>2002</v>
      </c>
      <c r="H14" s="15">
        <f t="shared" si="0"/>
        <v>24</v>
      </c>
      <c r="I14" s="14">
        <v>45383</v>
      </c>
      <c r="J14" s="53" t="s">
        <v>263</v>
      </c>
      <c r="K14" s="90" t="s">
        <v>363</v>
      </c>
      <c r="L14" s="91" t="s">
        <v>364</v>
      </c>
      <c r="M14" s="190" t="s">
        <v>427</v>
      </c>
      <c r="N14" s="193" t="s">
        <v>431</v>
      </c>
      <c r="O14" s="194" t="s">
        <v>558</v>
      </c>
      <c r="P14" s="205" t="s">
        <v>434</v>
      </c>
      <c r="Q14" s="206"/>
    </row>
    <row r="15" spans="1:17" s="18" customFormat="1" ht="18.75" customHeight="1" x14ac:dyDescent="0.25">
      <c r="A15" s="132">
        <v>30007</v>
      </c>
      <c r="B15" s="132">
        <v>2347683702</v>
      </c>
      <c r="C15" s="66" t="s">
        <v>33</v>
      </c>
      <c r="D15" s="25" t="s">
        <v>34</v>
      </c>
      <c r="E15" s="66" t="s">
        <v>527</v>
      </c>
      <c r="F15" s="24">
        <v>25930</v>
      </c>
      <c r="G15" s="23">
        <v>1970</v>
      </c>
      <c r="H15" s="15">
        <f t="shared" si="0"/>
        <v>56</v>
      </c>
      <c r="I15" s="14">
        <v>36710</v>
      </c>
      <c r="J15" s="53" t="s">
        <v>287</v>
      </c>
      <c r="K15" s="57">
        <v>609687010</v>
      </c>
      <c r="L15" s="26" t="s">
        <v>35</v>
      </c>
      <c r="M15" s="190" t="s">
        <v>437</v>
      </c>
      <c r="N15" s="193" t="s">
        <v>438</v>
      </c>
      <c r="O15" s="192" t="s">
        <v>559</v>
      </c>
      <c r="P15" s="205" t="s">
        <v>434</v>
      </c>
      <c r="Q15" s="206"/>
    </row>
    <row r="16" spans="1:17" s="18" customFormat="1" ht="18.75" customHeight="1" x14ac:dyDescent="0.25">
      <c r="A16" s="132">
        <v>30009</v>
      </c>
      <c r="B16" s="132">
        <v>2347589703</v>
      </c>
      <c r="C16" s="66" t="s">
        <v>36</v>
      </c>
      <c r="D16" s="25" t="s">
        <v>37</v>
      </c>
      <c r="E16" s="66" t="s">
        <v>460</v>
      </c>
      <c r="F16" s="24">
        <v>24488</v>
      </c>
      <c r="G16" s="23">
        <v>1967</v>
      </c>
      <c r="H16" s="15">
        <f t="shared" si="0"/>
        <v>59</v>
      </c>
      <c r="I16" s="14">
        <v>37259</v>
      </c>
      <c r="J16" s="53" t="s">
        <v>288</v>
      </c>
      <c r="K16" s="57">
        <v>636951089</v>
      </c>
      <c r="L16" s="26" t="s">
        <v>38</v>
      </c>
      <c r="M16" s="190" t="s">
        <v>437</v>
      </c>
      <c r="N16" s="193" t="s">
        <v>431</v>
      </c>
      <c r="O16" s="192" t="s">
        <v>560</v>
      </c>
      <c r="P16" s="205" t="s">
        <v>434</v>
      </c>
      <c r="Q16" s="206"/>
    </row>
    <row r="17" spans="1:17" s="18" customFormat="1" ht="18.75" customHeight="1" x14ac:dyDescent="0.25">
      <c r="A17" s="132">
        <v>30013</v>
      </c>
      <c r="B17" s="132">
        <v>2347727574</v>
      </c>
      <c r="C17" s="66" t="s">
        <v>39</v>
      </c>
      <c r="D17" s="25" t="s">
        <v>40</v>
      </c>
      <c r="E17" s="66" t="s">
        <v>461</v>
      </c>
      <c r="F17" s="24">
        <v>28795</v>
      </c>
      <c r="G17" s="23">
        <v>1978</v>
      </c>
      <c r="H17" s="15">
        <f t="shared" si="0"/>
        <v>48</v>
      </c>
      <c r="I17" s="14">
        <v>37620</v>
      </c>
      <c r="J17" s="53" t="s">
        <v>289</v>
      </c>
      <c r="K17" s="57">
        <v>629615979</v>
      </c>
      <c r="L17" s="26" t="s">
        <v>41</v>
      </c>
      <c r="M17" s="190" t="s">
        <v>437</v>
      </c>
      <c r="N17" s="193" t="s">
        <v>438</v>
      </c>
      <c r="O17" s="192" t="s">
        <v>561</v>
      </c>
      <c r="P17" s="205" t="s">
        <v>434</v>
      </c>
      <c r="Q17" s="206"/>
    </row>
    <row r="18" spans="1:17" s="18" customFormat="1" ht="18.75" customHeight="1" x14ac:dyDescent="0.25">
      <c r="A18" s="132">
        <v>30026</v>
      </c>
      <c r="B18" s="132">
        <v>2347643360</v>
      </c>
      <c r="C18" s="66" t="s">
        <v>365</v>
      </c>
      <c r="D18" s="25" t="s">
        <v>366</v>
      </c>
      <c r="E18" s="66" t="s">
        <v>462</v>
      </c>
      <c r="F18" s="24">
        <v>30014</v>
      </c>
      <c r="G18" s="23">
        <v>1982</v>
      </c>
      <c r="H18" s="15">
        <f t="shared" si="0"/>
        <v>44</v>
      </c>
      <c r="I18" s="14">
        <v>45323</v>
      </c>
      <c r="J18" s="53" t="s">
        <v>367</v>
      </c>
      <c r="K18" s="90" t="s">
        <v>369</v>
      </c>
      <c r="L18" s="91" t="s">
        <v>368</v>
      </c>
      <c r="M18" s="190" t="s">
        <v>437</v>
      </c>
      <c r="N18" s="193" t="s">
        <v>438</v>
      </c>
      <c r="O18" s="194" t="s">
        <v>562</v>
      </c>
      <c r="P18" s="205" t="s">
        <v>434</v>
      </c>
      <c r="Q18" s="206"/>
    </row>
    <row r="19" spans="1:17" s="18" customFormat="1" ht="18.75" customHeight="1" x14ac:dyDescent="0.25">
      <c r="A19" s="132">
        <v>30019</v>
      </c>
      <c r="B19" s="132">
        <v>2347654910</v>
      </c>
      <c r="C19" s="66" t="s">
        <v>42</v>
      </c>
      <c r="D19" s="25" t="s">
        <v>43</v>
      </c>
      <c r="E19" s="66" t="s">
        <v>528</v>
      </c>
      <c r="F19" s="24">
        <v>26410</v>
      </c>
      <c r="G19" s="23">
        <v>1972</v>
      </c>
      <c r="H19" s="15">
        <f t="shared" si="0"/>
        <v>54</v>
      </c>
      <c r="I19" s="14">
        <v>39517</v>
      </c>
      <c r="J19" s="53" t="s">
        <v>290</v>
      </c>
      <c r="K19" s="57">
        <v>639653121</v>
      </c>
      <c r="L19" s="28" t="s">
        <v>360</v>
      </c>
      <c r="M19" s="190" t="s">
        <v>437</v>
      </c>
      <c r="N19" s="193" t="s">
        <v>438</v>
      </c>
      <c r="O19" s="192" t="s">
        <v>433</v>
      </c>
      <c r="P19" s="205" t="s">
        <v>434</v>
      </c>
      <c r="Q19" s="206"/>
    </row>
    <row r="20" spans="1:17" s="131" customFormat="1" ht="18.75" customHeight="1" x14ac:dyDescent="0.25">
      <c r="A20" s="140">
        <v>30020</v>
      </c>
      <c r="B20" s="140">
        <v>2347677905</v>
      </c>
      <c r="C20" s="141" t="s">
        <v>50</v>
      </c>
      <c r="D20" s="142" t="s">
        <v>51</v>
      </c>
      <c r="E20" s="141" t="s">
        <v>464</v>
      </c>
      <c r="F20" s="143">
        <v>25740</v>
      </c>
      <c r="G20" s="144">
        <v>1970</v>
      </c>
      <c r="H20" s="123">
        <f t="shared" si="0"/>
        <v>56</v>
      </c>
      <c r="I20" s="145">
        <v>40736</v>
      </c>
      <c r="J20" s="146" t="s">
        <v>291</v>
      </c>
      <c r="K20" s="147">
        <v>619835076</v>
      </c>
      <c r="L20" s="148" t="s">
        <v>52</v>
      </c>
      <c r="M20" s="190" t="s">
        <v>437</v>
      </c>
      <c r="N20" s="193" t="s">
        <v>438</v>
      </c>
      <c r="O20" s="192" t="s">
        <v>433</v>
      </c>
      <c r="P20" s="205" t="s">
        <v>434</v>
      </c>
      <c r="Q20" s="208"/>
    </row>
    <row r="21" spans="1:17" s="18" customFormat="1" ht="18.75" customHeight="1" x14ac:dyDescent="0.25">
      <c r="A21" s="132">
        <v>30018</v>
      </c>
      <c r="B21" s="132">
        <v>2347644109</v>
      </c>
      <c r="C21" s="66" t="s">
        <v>44</v>
      </c>
      <c r="D21" s="25" t="s">
        <v>45</v>
      </c>
      <c r="E21" s="66" t="s">
        <v>465</v>
      </c>
      <c r="F21" s="24">
        <v>31019</v>
      </c>
      <c r="G21" s="23">
        <v>1984</v>
      </c>
      <c r="H21" s="15">
        <f t="shared" si="0"/>
        <v>42</v>
      </c>
      <c r="I21" s="14">
        <v>39406</v>
      </c>
      <c r="J21" s="53" t="s">
        <v>325</v>
      </c>
      <c r="K21" s="57">
        <v>650206525</v>
      </c>
      <c r="L21" s="46" t="s">
        <v>46</v>
      </c>
      <c r="M21" s="190" t="s">
        <v>437</v>
      </c>
      <c r="N21" s="193" t="s">
        <v>429</v>
      </c>
      <c r="O21" s="192" t="s">
        <v>432</v>
      </c>
      <c r="P21" s="205" t="s">
        <v>434</v>
      </c>
      <c r="Q21" s="206"/>
    </row>
    <row r="22" spans="1:17" s="18" customFormat="1" ht="18.75" customHeight="1" x14ac:dyDescent="0.25">
      <c r="A22" s="132">
        <v>30016</v>
      </c>
      <c r="B22" s="132">
        <v>2347623330</v>
      </c>
      <c r="C22" s="41" t="s">
        <v>119</v>
      </c>
      <c r="D22" s="31" t="s">
        <v>120</v>
      </c>
      <c r="E22" s="41" t="s">
        <v>465</v>
      </c>
      <c r="F22" s="32">
        <v>31722</v>
      </c>
      <c r="G22" s="33">
        <v>1986</v>
      </c>
      <c r="H22" s="15">
        <f t="shared" si="0"/>
        <v>40</v>
      </c>
      <c r="I22" s="67">
        <v>38667</v>
      </c>
      <c r="J22" s="50" t="s">
        <v>260</v>
      </c>
      <c r="K22" s="96">
        <v>646815102</v>
      </c>
      <c r="L22" s="46" t="s">
        <v>121</v>
      </c>
      <c r="M22" s="190" t="s">
        <v>437</v>
      </c>
      <c r="N22" s="193" t="s">
        <v>429</v>
      </c>
      <c r="O22" s="192" t="s">
        <v>432</v>
      </c>
      <c r="P22" s="205" t="s">
        <v>434</v>
      </c>
      <c r="Q22" s="206"/>
    </row>
    <row r="23" spans="1:17" s="18" customFormat="1" ht="18.75" customHeight="1" x14ac:dyDescent="0.25">
      <c r="A23" s="132">
        <v>30027</v>
      </c>
      <c r="B23" s="132">
        <v>2347663302</v>
      </c>
      <c r="C23" s="66" t="s">
        <v>370</v>
      </c>
      <c r="D23" s="25" t="s">
        <v>371</v>
      </c>
      <c r="E23" s="66" t="s">
        <v>463</v>
      </c>
      <c r="F23" s="24">
        <v>26869</v>
      </c>
      <c r="G23" s="23">
        <v>1973</v>
      </c>
      <c r="H23" s="15">
        <f t="shared" si="0"/>
        <v>53</v>
      </c>
      <c r="I23" s="14">
        <v>45349</v>
      </c>
      <c r="J23" s="95" t="s">
        <v>372</v>
      </c>
      <c r="K23" s="97" t="s">
        <v>373</v>
      </c>
      <c r="L23" s="91" t="s">
        <v>374</v>
      </c>
      <c r="M23" s="190" t="s">
        <v>437</v>
      </c>
      <c r="N23" s="193" t="s">
        <v>429</v>
      </c>
      <c r="O23" s="192" t="s">
        <v>432</v>
      </c>
      <c r="P23" s="205" t="s">
        <v>434</v>
      </c>
      <c r="Q23" s="206"/>
    </row>
    <row r="24" spans="1:17" s="18" customFormat="1" ht="18.75" customHeight="1" x14ac:dyDescent="0.25">
      <c r="A24" s="132">
        <v>30023</v>
      </c>
      <c r="B24" s="132">
        <v>2333128859</v>
      </c>
      <c r="C24" s="66" t="s">
        <v>53</v>
      </c>
      <c r="D24" s="29" t="s">
        <v>54</v>
      </c>
      <c r="E24" s="66" t="s">
        <v>529</v>
      </c>
      <c r="F24" s="24">
        <v>26769</v>
      </c>
      <c r="G24" s="23">
        <v>1973</v>
      </c>
      <c r="H24" s="15">
        <f t="shared" si="0"/>
        <v>53</v>
      </c>
      <c r="I24" s="21">
        <v>43878</v>
      </c>
      <c r="J24" s="53" t="s">
        <v>293</v>
      </c>
      <c r="K24" s="57">
        <v>619735564</v>
      </c>
      <c r="L24" s="46" t="s">
        <v>55</v>
      </c>
      <c r="M24" s="190" t="s">
        <v>437</v>
      </c>
      <c r="N24" s="193" t="s">
        <v>429</v>
      </c>
      <c r="O24" s="192" t="s">
        <v>433</v>
      </c>
      <c r="P24" s="205" t="s">
        <v>434</v>
      </c>
      <c r="Q24" s="206"/>
    </row>
    <row r="25" spans="1:17" s="18" customFormat="1" ht="18.75" customHeight="1" x14ac:dyDescent="0.2">
      <c r="A25" s="134">
        <v>30015</v>
      </c>
      <c r="B25" s="134">
        <v>2347657983</v>
      </c>
      <c r="C25" s="115" t="s">
        <v>110</v>
      </c>
      <c r="D25" s="62" t="s">
        <v>111</v>
      </c>
      <c r="E25" s="115" t="s">
        <v>466</v>
      </c>
      <c r="F25" s="14">
        <v>30632</v>
      </c>
      <c r="G25" s="15">
        <v>1983</v>
      </c>
      <c r="H25" s="15">
        <f t="shared" si="0"/>
        <v>43</v>
      </c>
      <c r="I25" s="70">
        <v>38294</v>
      </c>
      <c r="J25" s="49" t="s">
        <v>355</v>
      </c>
      <c r="K25" s="64">
        <v>625655406</v>
      </c>
      <c r="L25" s="17" t="s">
        <v>112</v>
      </c>
      <c r="M25" s="190" t="s">
        <v>437</v>
      </c>
      <c r="N25" s="193" t="s">
        <v>429</v>
      </c>
      <c r="O25" s="195" t="s">
        <v>563</v>
      </c>
      <c r="P25" s="205" t="s">
        <v>434</v>
      </c>
      <c r="Q25" s="206"/>
    </row>
    <row r="26" spans="1:17" s="18" customFormat="1" ht="18.75" customHeight="1" x14ac:dyDescent="0.2">
      <c r="A26" s="132">
        <v>30012</v>
      </c>
      <c r="B26" s="132">
        <v>2347646576</v>
      </c>
      <c r="C26" s="42" t="s">
        <v>90</v>
      </c>
      <c r="D26" s="31" t="s">
        <v>91</v>
      </c>
      <c r="E26" s="42" t="s">
        <v>467</v>
      </c>
      <c r="F26" s="32">
        <v>26908</v>
      </c>
      <c r="G26" s="33">
        <v>1973</v>
      </c>
      <c r="H26" s="15">
        <f t="shared" si="0"/>
        <v>53</v>
      </c>
      <c r="I26" s="67">
        <v>37614</v>
      </c>
      <c r="J26" s="50" t="s">
        <v>236</v>
      </c>
      <c r="K26" s="75">
        <v>657221337</v>
      </c>
      <c r="L26" s="46" t="s">
        <v>342</v>
      </c>
      <c r="M26" s="190" t="s">
        <v>427</v>
      </c>
      <c r="N26" s="193" t="s">
        <v>429</v>
      </c>
      <c r="O26" s="196" t="s">
        <v>573</v>
      </c>
      <c r="P26" s="205" t="s">
        <v>434</v>
      </c>
      <c r="Q26" s="206"/>
    </row>
    <row r="27" spans="1:17" s="18" customFormat="1" ht="18.75" customHeight="1" x14ac:dyDescent="0.2">
      <c r="A27" s="132">
        <v>30021</v>
      </c>
      <c r="B27" s="132">
        <v>2333158052</v>
      </c>
      <c r="C27" s="42" t="s">
        <v>169</v>
      </c>
      <c r="D27" s="25" t="s">
        <v>170</v>
      </c>
      <c r="E27" s="42" t="s">
        <v>468</v>
      </c>
      <c r="F27" s="36">
        <v>33827</v>
      </c>
      <c r="G27" s="23">
        <v>1992</v>
      </c>
      <c r="H27" s="15">
        <f t="shared" si="0"/>
        <v>34</v>
      </c>
      <c r="I27" s="67">
        <v>43419</v>
      </c>
      <c r="J27" s="50" t="s">
        <v>263</v>
      </c>
      <c r="K27" s="75">
        <v>641101649</v>
      </c>
      <c r="L27" s="46" t="s">
        <v>343</v>
      </c>
      <c r="M27" s="190" t="s">
        <v>427</v>
      </c>
      <c r="N27" s="193" t="s">
        <v>429</v>
      </c>
      <c r="O27" s="196" t="s">
        <v>573</v>
      </c>
      <c r="P27" s="205" t="s">
        <v>434</v>
      </c>
      <c r="Q27" s="206"/>
    </row>
    <row r="28" spans="1:17" s="18" customFormat="1" ht="18.75" customHeight="1" x14ac:dyDescent="0.2">
      <c r="A28" s="132">
        <v>30022</v>
      </c>
      <c r="B28" s="132">
        <v>2333164156</v>
      </c>
      <c r="C28" s="42" t="s">
        <v>171</v>
      </c>
      <c r="D28" s="25" t="s">
        <v>172</v>
      </c>
      <c r="E28" s="42" t="s">
        <v>469</v>
      </c>
      <c r="F28" s="36">
        <v>30174</v>
      </c>
      <c r="G28" s="23">
        <v>1982</v>
      </c>
      <c r="H28" s="15">
        <f t="shared" si="0"/>
        <v>44</v>
      </c>
      <c r="I28" s="67">
        <v>43419</v>
      </c>
      <c r="J28" s="50" t="s">
        <v>262</v>
      </c>
      <c r="K28" s="74">
        <v>679688979</v>
      </c>
      <c r="L28" s="46" t="s">
        <v>173</v>
      </c>
      <c r="M28" s="190" t="s">
        <v>427</v>
      </c>
      <c r="N28" s="193" t="s">
        <v>438</v>
      </c>
      <c r="O28" s="196" t="s">
        <v>551</v>
      </c>
      <c r="P28" s="205" t="s">
        <v>434</v>
      </c>
      <c r="Q28" s="206"/>
    </row>
    <row r="29" spans="1:17" s="18" customFormat="1" ht="18.75" customHeight="1" x14ac:dyDescent="0.2">
      <c r="A29" s="132">
        <v>30031</v>
      </c>
      <c r="B29" s="132">
        <v>1650538450</v>
      </c>
      <c r="C29" s="42" t="s">
        <v>395</v>
      </c>
      <c r="D29" s="25" t="s">
        <v>76</v>
      </c>
      <c r="E29" s="42" t="s">
        <v>530</v>
      </c>
      <c r="F29" s="36">
        <v>24747</v>
      </c>
      <c r="G29" s="23">
        <v>1967</v>
      </c>
      <c r="H29" s="15">
        <f t="shared" si="0"/>
        <v>59</v>
      </c>
      <c r="I29" s="67"/>
      <c r="J29" s="50" t="s">
        <v>396</v>
      </c>
      <c r="K29" s="74"/>
      <c r="L29" s="46"/>
      <c r="M29" s="190" t="s">
        <v>437</v>
      </c>
      <c r="N29" s="193" t="s">
        <v>429</v>
      </c>
      <c r="O29" s="196" t="s">
        <v>551</v>
      </c>
      <c r="P29" s="205" t="s">
        <v>434</v>
      </c>
      <c r="Q29" s="206"/>
    </row>
    <row r="30" spans="1:17" s="18" customFormat="1" ht="18.75" customHeight="1" x14ac:dyDescent="0.2">
      <c r="A30" s="132">
        <v>30030</v>
      </c>
      <c r="B30" s="132">
        <v>1650129538</v>
      </c>
      <c r="C30" s="42" t="s">
        <v>397</v>
      </c>
      <c r="D30" s="25" t="s">
        <v>398</v>
      </c>
      <c r="E30" s="42" t="s">
        <v>470</v>
      </c>
      <c r="F30" s="36">
        <v>34852</v>
      </c>
      <c r="G30" s="23">
        <v>1995</v>
      </c>
      <c r="H30" s="15">
        <f t="shared" si="0"/>
        <v>31</v>
      </c>
      <c r="I30" s="67">
        <v>45708</v>
      </c>
      <c r="J30" s="50" t="s">
        <v>399</v>
      </c>
      <c r="K30" s="74">
        <v>679871073</v>
      </c>
      <c r="L30" s="46" t="s">
        <v>400</v>
      </c>
      <c r="M30" s="190" t="s">
        <v>427</v>
      </c>
      <c r="N30" s="193" t="s">
        <v>431</v>
      </c>
      <c r="O30" s="197" t="s">
        <v>551</v>
      </c>
      <c r="P30" s="205" t="s">
        <v>434</v>
      </c>
      <c r="Q30" s="206"/>
    </row>
    <row r="31" spans="1:17" s="18" customFormat="1" ht="18.75" customHeight="1" x14ac:dyDescent="0.2">
      <c r="A31" s="132"/>
      <c r="B31" s="132"/>
      <c r="C31" s="42" t="s">
        <v>401</v>
      </c>
      <c r="D31" s="25" t="s">
        <v>402</v>
      </c>
      <c r="E31" s="42" t="s">
        <v>471</v>
      </c>
      <c r="F31" s="36">
        <v>24549</v>
      </c>
      <c r="G31" s="23">
        <v>1967</v>
      </c>
      <c r="H31" s="15">
        <f t="shared" si="0"/>
        <v>59</v>
      </c>
      <c r="I31" s="67">
        <v>45964</v>
      </c>
      <c r="J31" s="50" t="s">
        <v>406</v>
      </c>
      <c r="K31" s="74"/>
      <c r="L31" s="46"/>
      <c r="M31" s="190" t="s">
        <v>427</v>
      </c>
      <c r="N31" s="193" t="s">
        <v>431</v>
      </c>
      <c r="O31" s="197" t="s">
        <v>433</v>
      </c>
      <c r="P31" s="205" t="s">
        <v>434</v>
      </c>
      <c r="Q31" s="206"/>
    </row>
    <row r="32" spans="1:17" s="18" customFormat="1" ht="18.75" customHeight="1" x14ac:dyDescent="0.2">
      <c r="A32" s="44">
        <v>30032</v>
      </c>
      <c r="B32" s="44">
        <v>1650624082</v>
      </c>
      <c r="C32" s="116" t="s">
        <v>403</v>
      </c>
      <c r="D32" s="25" t="s">
        <v>404</v>
      </c>
      <c r="E32" s="116" t="s">
        <v>472</v>
      </c>
      <c r="F32" s="36">
        <v>37000</v>
      </c>
      <c r="G32" s="23">
        <v>2001</v>
      </c>
      <c r="H32" s="15">
        <f t="shared" si="0"/>
        <v>25</v>
      </c>
      <c r="I32" s="67">
        <v>46030</v>
      </c>
      <c r="J32" s="53" t="s">
        <v>405</v>
      </c>
      <c r="K32" s="74"/>
      <c r="L32" s="46"/>
      <c r="M32" s="190" t="s">
        <v>427</v>
      </c>
      <c r="N32" s="193" t="s">
        <v>431</v>
      </c>
      <c r="O32" s="197" t="s">
        <v>556</v>
      </c>
      <c r="P32" s="205" t="s">
        <v>434</v>
      </c>
      <c r="Q32" s="206"/>
    </row>
    <row r="33" spans="1:17" s="18" customFormat="1" ht="18.75" customHeight="1" x14ac:dyDescent="0.25">
      <c r="A33" s="44">
        <v>40001</v>
      </c>
      <c r="B33" s="13">
        <v>2347671113</v>
      </c>
      <c r="C33" s="27" t="s">
        <v>47</v>
      </c>
      <c r="D33" s="25" t="s">
        <v>48</v>
      </c>
      <c r="E33" s="27" t="s">
        <v>531</v>
      </c>
      <c r="F33" s="24">
        <v>26092</v>
      </c>
      <c r="G33" s="23">
        <v>1971</v>
      </c>
      <c r="H33" s="22">
        <f t="shared" si="0"/>
        <v>55</v>
      </c>
      <c r="I33" s="21">
        <v>36832</v>
      </c>
      <c r="J33" s="53" t="s">
        <v>295</v>
      </c>
      <c r="K33" s="57">
        <v>639704509</v>
      </c>
      <c r="L33" s="26" t="s">
        <v>49</v>
      </c>
      <c r="M33" s="190" t="s">
        <v>427</v>
      </c>
      <c r="N33" s="192" t="s">
        <v>430</v>
      </c>
      <c r="O33" s="192" t="s">
        <v>564</v>
      </c>
      <c r="P33" s="200" t="s">
        <v>430</v>
      </c>
      <c r="Q33" s="206"/>
    </row>
    <row r="34" spans="1:17" s="18" customFormat="1" ht="18.75" customHeight="1" thickBot="1" x14ac:dyDescent="0.3">
      <c r="A34" s="44">
        <v>40002</v>
      </c>
      <c r="B34" s="44">
        <v>2347660241</v>
      </c>
      <c r="C34" s="27" t="s">
        <v>216</v>
      </c>
      <c r="D34" s="29" t="s">
        <v>217</v>
      </c>
      <c r="E34" s="27" t="s">
        <v>532</v>
      </c>
      <c r="F34" s="24">
        <v>25573</v>
      </c>
      <c r="G34" s="23">
        <v>1970</v>
      </c>
      <c r="H34" s="22">
        <f t="shared" si="0"/>
        <v>56</v>
      </c>
      <c r="I34" s="21">
        <v>44148</v>
      </c>
      <c r="J34" s="53" t="s">
        <v>294</v>
      </c>
      <c r="K34" s="57">
        <v>638739965</v>
      </c>
      <c r="L34" s="26" t="s">
        <v>218</v>
      </c>
      <c r="M34" s="190" t="s">
        <v>427</v>
      </c>
      <c r="N34" s="192" t="s">
        <v>430</v>
      </c>
      <c r="O34" s="192" t="s">
        <v>574</v>
      </c>
      <c r="P34" s="200" t="s">
        <v>430</v>
      </c>
      <c r="Q34" s="206"/>
    </row>
    <row r="35" spans="1:17" s="131" customFormat="1" ht="18.75" customHeight="1" thickBot="1" x14ac:dyDescent="0.25">
      <c r="A35" s="133">
        <v>165</v>
      </c>
      <c r="B35" s="133">
        <v>2333150759</v>
      </c>
      <c r="C35" s="149" t="s">
        <v>58</v>
      </c>
      <c r="D35" s="150" t="s">
        <v>59</v>
      </c>
      <c r="E35" s="149" t="s">
        <v>473</v>
      </c>
      <c r="F35" s="151">
        <v>23913</v>
      </c>
      <c r="G35" s="152">
        <v>1965</v>
      </c>
      <c r="H35" s="153" t="e">
        <f>(#REF!-G35)</f>
        <v>#REF!</v>
      </c>
      <c r="I35" s="154">
        <v>29965</v>
      </c>
      <c r="J35" s="155" t="s">
        <v>307</v>
      </c>
      <c r="K35" s="156">
        <v>628882618</v>
      </c>
      <c r="L35" s="130" t="s">
        <v>60</v>
      </c>
      <c r="M35" s="190" t="s">
        <v>427</v>
      </c>
      <c r="N35" s="193" t="s">
        <v>429</v>
      </c>
      <c r="O35" s="199" t="s">
        <v>565</v>
      </c>
      <c r="P35" s="199" t="s">
        <v>429</v>
      </c>
      <c r="Q35" s="208"/>
    </row>
    <row r="36" spans="1:17" s="131" customFormat="1" ht="18.75" customHeight="1" thickBot="1" x14ac:dyDescent="0.25">
      <c r="A36" s="133">
        <v>177</v>
      </c>
      <c r="B36" s="133">
        <v>2333221421</v>
      </c>
      <c r="C36" s="149" t="s">
        <v>61</v>
      </c>
      <c r="D36" s="150" t="s">
        <v>62</v>
      </c>
      <c r="E36" s="149" t="s">
        <v>474</v>
      </c>
      <c r="F36" s="151">
        <v>21758</v>
      </c>
      <c r="G36" s="152">
        <v>1959</v>
      </c>
      <c r="H36" s="153" t="e">
        <f>(#REF!-G36)</f>
        <v>#REF!</v>
      </c>
      <c r="I36" s="154">
        <v>30334</v>
      </c>
      <c r="J36" s="155" t="s">
        <v>227</v>
      </c>
      <c r="K36" s="156">
        <v>617702289</v>
      </c>
      <c r="L36" s="130" t="s">
        <v>63</v>
      </c>
      <c r="M36" s="190" t="s">
        <v>427</v>
      </c>
      <c r="N36" s="193" t="s">
        <v>429</v>
      </c>
      <c r="O36" s="199" t="s">
        <v>565</v>
      </c>
      <c r="P36" s="199" t="s">
        <v>429</v>
      </c>
      <c r="Q36" s="208"/>
    </row>
    <row r="37" spans="1:17" s="131" customFormat="1" ht="18.75" customHeight="1" thickBot="1" x14ac:dyDescent="0.25">
      <c r="A37" s="133">
        <v>202</v>
      </c>
      <c r="B37" s="133">
        <v>2333224926</v>
      </c>
      <c r="C37" s="149" t="s">
        <v>64</v>
      </c>
      <c r="D37" s="150" t="s">
        <v>65</v>
      </c>
      <c r="E37" s="149" t="s">
        <v>533</v>
      </c>
      <c r="F37" s="151">
        <v>23549</v>
      </c>
      <c r="G37" s="152">
        <v>1964</v>
      </c>
      <c r="H37" s="153" t="e">
        <f>(#REF!-G37)</f>
        <v>#REF!</v>
      </c>
      <c r="I37" s="154">
        <v>30341</v>
      </c>
      <c r="J37" s="155" t="s">
        <v>228</v>
      </c>
      <c r="K37" s="156">
        <v>682527830</v>
      </c>
      <c r="L37" s="137" t="s">
        <v>66</v>
      </c>
      <c r="M37" s="190" t="s">
        <v>427</v>
      </c>
      <c r="N37" s="193" t="s">
        <v>429</v>
      </c>
      <c r="O37" s="199" t="s">
        <v>565</v>
      </c>
      <c r="P37" s="199" t="s">
        <v>429</v>
      </c>
      <c r="Q37" s="208"/>
    </row>
    <row r="38" spans="1:17" s="131" customFormat="1" ht="18.75" customHeight="1" thickBot="1" x14ac:dyDescent="0.25">
      <c r="A38" s="133">
        <v>212</v>
      </c>
      <c r="B38" s="133">
        <v>2333210965</v>
      </c>
      <c r="C38" s="149" t="s">
        <v>67</v>
      </c>
      <c r="D38" s="150" t="s">
        <v>68</v>
      </c>
      <c r="E38" s="149" t="s">
        <v>475</v>
      </c>
      <c r="F38" s="151">
        <v>24690</v>
      </c>
      <c r="G38" s="152">
        <v>1967</v>
      </c>
      <c r="H38" s="153" t="e">
        <f>(#REF!-G38)</f>
        <v>#REF!</v>
      </c>
      <c r="I38" s="154">
        <v>31744</v>
      </c>
      <c r="J38" s="155" t="s">
        <v>229</v>
      </c>
      <c r="K38" s="156">
        <v>666306064</v>
      </c>
      <c r="L38" s="130" t="s">
        <v>69</v>
      </c>
      <c r="M38" s="190" t="s">
        <v>427</v>
      </c>
      <c r="N38" s="193" t="s">
        <v>429</v>
      </c>
      <c r="O38" s="199" t="s">
        <v>565</v>
      </c>
      <c r="P38" s="199" t="s">
        <v>429</v>
      </c>
      <c r="Q38" s="208"/>
    </row>
    <row r="39" spans="1:17" s="18" customFormat="1" ht="18.75" customHeight="1" thickBot="1" x14ac:dyDescent="0.25">
      <c r="A39" s="132">
        <v>225</v>
      </c>
      <c r="B39" s="132">
        <v>2333160345</v>
      </c>
      <c r="C39" s="113" t="s">
        <v>70</v>
      </c>
      <c r="D39" s="31" t="s">
        <v>71</v>
      </c>
      <c r="E39" s="113" t="s">
        <v>476</v>
      </c>
      <c r="F39" s="32">
        <v>24961</v>
      </c>
      <c r="G39" s="33">
        <v>1968</v>
      </c>
      <c r="H39" s="86" t="e">
        <f>(#REF!-G39)</f>
        <v>#REF!</v>
      </c>
      <c r="I39" s="67">
        <v>32132</v>
      </c>
      <c r="J39" s="50" t="s">
        <v>230</v>
      </c>
      <c r="K39" s="54">
        <v>635198621</v>
      </c>
      <c r="L39" s="26" t="s">
        <v>72</v>
      </c>
      <c r="M39" s="190" t="s">
        <v>427</v>
      </c>
      <c r="N39" s="193" t="s">
        <v>429</v>
      </c>
      <c r="O39" s="199" t="s">
        <v>567</v>
      </c>
      <c r="P39" s="199" t="s">
        <v>429</v>
      </c>
      <c r="Q39" s="206"/>
    </row>
    <row r="40" spans="1:17" s="18" customFormat="1" ht="18.75" customHeight="1" thickBot="1" x14ac:dyDescent="0.25">
      <c r="A40" s="132">
        <v>226</v>
      </c>
      <c r="B40" s="132">
        <v>2347628643</v>
      </c>
      <c r="C40" s="113" t="s">
        <v>73</v>
      </c>
      <c r="D40" s="31" t="s">
        <v>74</v>
      </c>
      <c r="E40" s="113" t="s">
        <v>534</v>
      </c>
      <c r="F40" s="32">
        <v>23961</v>
      </c>
      <c r="G40" s="33">
        <v>1965</v>
      </c>
      <c r="H40" s="86" t="e">
        <f>(#REF!-G40)</f>
        <v>#REF!</v>
      </c>
      <c r="I40" s="67">
        <v>32459</v>
      </c>
      <c r="J40" s="50" t="s">
        <v>231</v>
      </c>
      <c r="K40" s="54">
        <v>600736418</v>
      </c>
      <c r="L40" s="26" t="s">
        <v>75</v>
      </c>
      <c r="M40" s="190" t="s">
        <v>427</v>
      </c>
      <c r="N40" s="193" t="s">
        <v>429</v>
      </c>
      <c r="O40" s="199" t="s">
        <v>567</v>
      </c>
      <c r="P40" s="199" t="s">
        <v>429</v>
      </c>
      <c r="Q40" s="206"/>
    </row>
    <row r="41" spans="1:17" s="18" customFormat="1" ht="18.75" customHeight="1" thickBot="1" x14ac:dyDescent="0.25">
      <c r="A41" s="132">
        <v>249</v>
      </c>
      <c r="B41" s="132">
        <v>2347661339</v>
      </c>
      <c r="C41" s="41" t="s">
        <v>77</v>
      </c>
      <c r="D41" s="31" t="s">
        <v>78</v>
      </c>
      <c r="E41" s="41" t="s">
        <v>477</v>
      </c>
      <c r="F41" s="32">
        <v>25564</v>
      </c>
      <c r="G41" s="33">
        <v>1969</v>
      </c>
      <c r="H41" s="86" t="e">
        <f>(#REF!-G41)</f>
        <v>#REF!</v>
      </c>
      <c r="I41" s="67">
        <v>34295</v>
      </c>
      <c r="J41" s="50" t="s">
        <v>232</v>
      </c>
      <c r="K41" s="54">
        <v>646396686</v>
      </c>
      <c r="L41" s="26" t="s">
        <v>79</v>
      </c>
      <c r="M41" s="190" t="s">
        <v>427</v>
      </c>
      <c r="N41" s="193" t="s">
        <v>429</v>
      </c>
      <c r="O41" s="199" t="s">
        <v>565</v>
      </c>
      <c r="P41" s="199" t="s">
        <v>429</v>
      </c>
      <c r="Q41" s="206"/>
    </row>
    <row r="42" spans="1:17" s="18" customFormat="1" ht="18.75" customHeight="1" thickBot="1" x14ac:dyDescent="0.25">
      <c r="A42" s="132">
        <v>253</v>
      </c>
      <c r="B42" s="132">
        <v>2347668651</v>
      </c>
      <c r="C42" s="41" t="s">
        <v>80</v>
      </c>
      <c r="D42" s="31" t="s">
        <v>81</v>
      </c>
      <c r="E42" s="41" t="s">
        <v>478</v>
      </c>
      <c r="F42" s="32">
        <v>25057</v>
      </c>
      <c r="G42" s="33">
        <v>1968</v>
      </c>
      <c r="H42" s="86" t="e">
        <f>(#REF!-G42)</f>
        <v>#REF!</v>
      </c>
      <c r="I42" s="67">
        <v>34295</v>
      </c>
      <c r="J42" s="50" t="s">
        <v>233</v>
      </c>
      <c r="K42" s="54">
        <v>686919137</v>
      </c>
      <c r="L42" s="48" t="s">
        <v>222</v>
      </c>
      <c r="M42" s="190" t="s">
        <v>427</v>
      </c>
      <c r="N42" s="193" t="s">
        <v>429</v>
      </c>
      <c r="O42" s="199" t="s">
        <v>568</v>
      </c>
      <c r="P42" s="199" t="s">
        <v>429</v>
      </c>
      <c r="Q42" s="206"/>
    </row>
    <row r="43" spans="1:17" s="131" customFormat="1" ht="18.75" customHeight="1" thickBot="1" x14ac:dyDescent="0.25">
      <c r="A43" s="133">
        <v>274</v>
      </c>
      <c r="B43" s="133">
        <v>2347650820</v>
      </c>
      <c r="C43" s="149" t="s">
        <v>82</v>
      </c>
      <c r="D43" s="150" t="s">
        <v>83</v>
      </c>
      <c r="E43" s="149" t="s">
        <v>479</v>
      </c>
      <c r="F43" s="151">
        <v>27092</v>
      </c>
      <c r="G43" s="152">
        <v>1974</v>
      </c>
      <c r="H43" s="153" t="e">
        <f>(#REF!-G43)</f>
        <v>#REF!</v>
      </c>
      <c r="I43" s="154">
        <v>34295</v>
      </c>
      <c r="J43" s="155" t="s">
        <v>393</v>
      </c>
      <c r="K43" s="157">
        <v>676177169</v>
      </c>
      <c r="L43" s="158" t="s">
        <v>223</v>
      </c>
      <c r="M43" s="190" t="s">
        <v>427</v>
      </c>
      <c r="N43" s="193" t="s">
        <v>429</v>
      </c>
      <c r="O43" s="199" t="s">
        <v>565</v>
      </c>
      <c r="P43" s="199" t="s">
        <v>429</v>
      </c>
      <c r="Q43" s="208"/>
    </row>
    <row r="44" spans="1:17" s="18" customFormat="1" ht="18.75" customHeight="1" thickBot="1" x14ac:dyDescent="0.25">
      <c r="A44" s="132">
        <v>289</v>
      </c>
      <c r="B44" s="132">
        <v>2347682110</v>
      </c>
      <c r="C44" s="113" t="s">
        <v>84</v>
      </c>
      <c r="D44" s="31" t="s">
        <v>85</v>
      </c>
      <c r="E44" s="113" t="s">
        <v>535</v>
      </c>
      <c r="F44" s="32">
        <v>25676</v>
      </c>
      <c r="G44" s="33">
        <v>1970</v>
      </c>
      <c r="H44" s="86" t="e">
        <f>(#REF!-G44)</f>
        <v>#REF!</v>
      </c>
      <c r="I44" s="67">
        <v>36115</v>
      </c>
      <c r="J44" s="50" t="s">
        <v>234</v>
      </c>
      <c r="K44" s="54">
        <v>609197429</v>
      </c>
      <c r="L44" s="26" t="s">
        <v>86</v>
      </c>
      <c r="M44" s="190" t="s">
        <v>427</v>
      </c>
      <c r="N44" s="193" t="s">
        <v>429</v>
      </c>
      <c r="O44" s="199" t="s">
        <v>562</v>
      </c>
      <c r="P44" s="199" t="s">
        <v>429</v>
      </c>
      <c r="Q44" s="206"/>
    </row>
    <row r="45" spans="1:17" s="18" customFormat="1" ht="18.75" customHeight="1" thickBot="1" x14ac:dyDescent="0.25">
      <c r="A45" s="132">
        <v>292</v>
      </c>
      <c r="B45" s="132">
        <v>2347614212</v>
      </c>
      <c r="C45" s="113" t="s">
        <v>87</v>
      </c>
      <c r="D45" s="31" t="s">
        <v>88</v>
      </c>
      <c r="E45" s="113" t="s">
        <v>480</v>
      </c>
      <c r="F45" s="32">
        <v>25116</v>
      </c>
      <c r="G45" s="33">
        <v>1968</v>
      </c>
      <c r="H45" s="86" t="e">
        <f>(#REF!-G45)</f>
        <v>#REF!</v>
      </c>
      <c r="I45" s="67">
        <v>37573</v>
      </c>
      <c r="J45" s="50" t="s">
        <v>235</v>
      </c>
      <c r="K45" s="54">
        <v>626397803</v>
      </c>
      <c r="L45" s="26" t="s">
        <v>89</v>
      </c>
      <c r="M45" s="190" t="s">
        <v>427</v>
      </c>
      <c r="N45" s="193" t="s">
        <v>429</v>
      </c>
      <c r="O45" s="199" t="s">
        <v>567</v>
      </c>
      <c r="P45" s="199" t="s">
        <v>429</v>
      </c>
      <c r="Q45" s="206"/>
    </row>
    <row r="46" spans="1:17" s="18" customFormat="1" ht="18.75" customHeight="1" thickBot="1" x14ac:dyDescent="0.25">
      <c r="A46" s="132">
        <v>296</v>
      </c>
      <c r="B46" s="132">
        <v>2347598207</v>
      </c>
      <c r="C46" s="41" t="s">
        <v>92</v>
      </c>
      <c r="D46" s="31" t="s">
        <v>93</v>
      </c>
      <c r="E46" s="41" t="s">
        <v>536</v>
      </c>
      <c r="F46" s="32">
        <v>27572</v>
      </c>
      <c r="G46" s="33">
        <v>1975</v>
      </c>
      <c r="H46" s="86" t="e">
        <f>(#REF!-G46)</f>
        <v>#REF!</v>
      </c>
      <c r="I46" s="67">
        <v>37211</v>
      </c>
      <c r="J46" s="50" t="s">
        <v>237</v>
      </c>
      <c r="K46" s="54">
        <v>628802548</v>
      </c>
      <c r="L46" s="26" t="s">
        <v>94</v>
      </c>
      <c r="M46" s="190" t="s">
        <v>427</v>
      </c>
      <c r="N46" s="193" t="s">
        <v>429</v>
      </c>
      <c r="O46" s="199" t="s">
        <v>565</v>
      </c>
      <c r="P46" s="199" t="s">
        <v>429</v>
      </c>
      <c r="Q46" s="206"/>
    </row>
    <row r="47" spans="1:17" s="18" customFormat="1" ht="18.75" customHeight="1" thickBot="1" x14ac:dyDescent="0.25">
      <c r="A47" s="132">
        <v>300</v>
      </c>
      <c r="B47" s="132">
        <v>2347676093</v>
      </c>
      <c r="C47" s="41" t="s">
        <v>95</v>
      </c>
      <c r="D47" s="31" t="s">
        <v>96</v>
      </c>
      <c r="E47" s="41" t="s">
        <v>537</v>
      </c>
      <c r="F47" s="32">
        <v>25351</v>
      </c>
      <c r="G47" s="33">
        <v>1969</v>
      </c>
      <c r="H47" s="86" t="e">
        <f>(#REF!-G47)</f>
        <v>#REF!</v>
      </c>
      <c r="I47" s="67">
        <v>37585</v>
      </c>
      <c r="J47" s="50" t="s">
        <v>238</v>
      </c>
      <c r="K47" s="54">
        <v>656774556</v>
      </c>
      <c r="L47" s="26" t="s">
        <v>97</v>
      </c>
      <c r="M47" s="190" t="s">
        <v>427</v>
      </c>
      <c r="N47" s="193" t="s">
        <v>429</v>
      </c>
      <c r="O47" s="199" t="s">
        <v>567</v>
      </c>
      <c r="P47" s="199" t="s">
        <v>429</v>
      </c>
      <c r="Q47" s="206"/>
    </row>
    <row r="48" spans="1:17" s="131" customFormat="1" ht="18.75" customHeight="1" thickBot="1" x14ac:dyDescent="0.25">
      <c r="A48" s="133">
        <v>302</v>
      </c>
      <c r="B48" s="133">
        <v>2347668971</v>
      </c>
      <c r="C48" s="159" t="s">
        <v>98</v>
      </c>
      <c r="D48" s="150" t="s">
        <v>99</v>
      </c>
      <c r="E48" s="159" t="s">
        <v>481</v>
      </c>
      <c r="F48" s="151">
        <v>23931</v>
      </c>
      <c r="G48" s="152">
        <v>1965</v>
      </c>
      <c r="H48" s="153" t="e">
        <f>(#REF!-G48)</f>
        <v>#REF!</v>
      </c>
      <c r="I48" s="154">
        <v>37939</v>
      </c>
      <c r="J48" s="155" t="s">
        <v>239</v>
      </c>
      <c r="K48" s="157">
        <v>607519442</v>
      </c>
      <c r="L48" s="130" t="s">
        <v>100</v>
      </c>
      <c r="M48" s="190" t="s">
        <v>427</v>
      </c>
      <c r="N48" s="193" t="s">
        <v>429</v>
      </c>
      <c r="O48" s="199" t="s">
        <v>567</v>
      </c>
      <c r="P48" s="199" t="s">
        <v>429</v>
      </c>
      <c r="Q48" s="208" t="s">
        <v>550</v>
      </c>
    </row>
    <row r="49" spans="1:17" s="18" customFormat="1" ht="18.75" customHeight="1" thickBot="1" x14ac:dyDescent="0.25">
      <c r="A49" s="132">
        <v>312</v>
      </c>
      <c r="B49" s="132">
        <v>2347689965</v>
      </c>
      <c r="C49" s="41" t="s">
        <v>101</v>
      </c>
      <c r="D49" s="31" t="s">
        <v>102</v>
      </c>
      <c r="E49" s="41" t="s">
        <v>482</v>
      </c>
      <c r="F49" s="32">
        <v>25150</v>
      </c>
      <c r="G49" s="33">
        <v>1968</v>
      </c>
      <c r="H49" s="86" t="e">
        <f>(#REF!-G49)</f>
        <v>#REF!</v>
      </c>
      <c r="I49" s="67">
        <v>37944</v>
      </c>
      <c r="J49" s="50" t="s">
        <v>241</v>
      </c>
      <c r="K49" s="54">
        <v>618672699</v>
      </c>
      <c r="L49" s="26" t="s">
        <v>103</v>
      </c>
      <c r="M49" s="190" t="s">
        <v>427</v>
      </c>
      <c r="N49" s="193" t="s">
        <v>429</v>
      </c>
      <c r="O49" s="199" t="s">
        <v>565</v>
      </c>
      <c r="P49" s="199" t="s">
        <v>429</v>
      </c>
      <c r="Q49" s="206"/>
    </row>
    <row r="50" spans="1:17" s="170" customFormat="1" ht="18.75" customHeight="1" thickBot="1" x14ac:dyDescent="0.25">
      <c r="A50" s="160">
        <v>313</v>
      </c>
      <c r="B50" s="160"/>
      <c r="C50" s="161" t="s">
        <v>104</v>
      </c>
      <c r="D50" s="162" t="s">
        <v>105</v>
      </c>
      <c r="E50" s="161" t="s">
        <v>483</v>
      </c>
      <c r="F50" s="163">
        <v>27647</v>
      </c>
      <c r="G50" s="164">
        <v>1975</v>
      </c>
      <c r="H50" s="165" t="e">
        <f>(#REF!-G50)</f>
        <v>#REF!</v>
      </c>
      <c r="I50" s="166"/>
      <c r="J50" s="167" t="s">
        <v>242</v>
      </c>
      <c r="K50" s="168">
        <v>646291043</v>
      </c>
      <c r="L50" s="169" t="s">
        <v>106</v>
      </c>
      <c r="M50" s="190" t="s">
        <v>427</v>
      </c>
      <c r="N50" s="193" t="s">
        <v>429</v>
      </c>
      <c r="O50" s="199" t="s">
        <v>565</v>
      </c>
      <c r="P50" s="199" t="s">
        <v>436</v>
      </c>
      <c r="Q50" s="209"/>
    </row>
    <row r="51" spans="1:17" s="131" customFormat="1" ht="18.75" customHeight="1" thickBot="1" x14ac:dyDescent="0.25">
      <c r="A51" s="133">
        <v>314</v>
      </c>
      <c r="B51" s="133">
        <v>2347597023</v>
      </c>
      <c r="C51" s="171" t="s">
        <v>107</v>
      </c>
      <c r="D51" s="150" t="s">
        <v>108</v>
      </c>
      <c r="E51" s="171" t="s">
        <v>484</v>
      </c>
      <c r="F51" s="151">
        <v>31229</v>
      </c>
      <c r="G51" s="152">
        <v>1985</v>
      </c>
      <c r="H51" s="153" t="e">
        <f>(#REF!-G51)</f>
        <v>#REF!</v>
      </c>
      <c r="I51" s="154">
        <v>37968</v>
      </c>
      <c r="J51" s="155" t="s">
        <v>243</v>
      </c>
      <c r="K51" s="157">
        <v>648479091</v>
      </c>
      <c r="L51" s="137" t="s">
        <v>109</v>
      </c>
      <c r="M51" s="190" t="s">
        <v>427</v>
      </c>
      <c r="N51" s="193" t="s">
        <v>429</v>
      </c>
      <c r="O51" s="199" t="s">
        <v>565</v>
      </c>
      <c r="P51" s="199" t="s">
        <v>429</v>
      </c>
      <c r="Q51" s="208"/>
    </row>
    <row r="52" spans="1:17" s="170" customFormat="1" ht="18.75" customHeight="1" thickBot="1" x14ac:dyDescent="0.25">
      <c r="A52" s="160">
        <v>322</v>
      </c>
      <c r="B52" s="160">
        <v>2347602596</v>
      </c>
      <c r="C52" s="161" t="s">
        <v>113</v>
      </c>
      <c r="D52" s="162" t="s">
        <v>114</v>
      </c>
      <c r="E52" s="161" t="s">
        <v>485</v>
      </c>
      <c r="F52" s="163">
        <v>28363</v>
      </c>
      <c r="G52" s="164">
        <v>1977</v>
      </c>
      <c r="H52" s="165" t="e">
        <f>(#REF!-G52)</f>
        <v>#REF!</v>
      </c>
      <c r="I52" s="166">
        <v>38334</v>
      </c>
      <c r="J52" s="167" t="s">
        <v>244</v>
      </c>
      <c r="K52" s="168">
        <v>677708718</v>
      </c>
      <c r="L52" s="169" t="s">
        <v>115</v>
      </c>
      <c r="M52" s="190" t="s">
        <v>427</v>
      </c>
      <c r="N52" s="193" t="s">
        <v>429</v>
      </c>
      <c r="O52" s="199" t="s">
        <v>569</v>
      </c>
      <c r="P52" s="199" t="s">
        <v>436</v>
      </c>
      <c r="Q52" s="209"/>
    </row>
    <row r="53" spans="1:17" s="18" customFormat="1" ht="18.75" customHeight="1" thickBot="1" x14ac:dyDescent="0.25">
      <c r="A53" s="132">
        <v>335</v>
      </c>
      <c r="B53" s="132">
        <v>2347636429</v>
      </c>
      <c r="C53" s="113" t="s">
        <v>116</v>
      </c>
      <c r="D53" s="31" t="s">
        <v>117</v>
      </c>
      <c r="E53" s="113" t="s">
        <v>486</v>
      </c>
      <c r="F53" s="32">
        <v>29516</v>
      </c>
      <c r="G53" s="33">
        <v>1980</v>
      </c>
      <c r="H53" s="86" t="e">
        <f>(#REF!-G53)</f>
        <v>#REF!</v>
      </c>
      <c r="I53" s="67">
        <v>38306</v>
      </c>
      <c r="J53" s="50" t="s">
        <v>244</v>
      </c>
      <c r="K53" s="54">
        <v>679942668</v>
      </c>
      <c r="L53" s="26" t="s">
        <v>118</v>
      </c>
      <c r="M53" s="190" t="s">
        <v>427</v>
      </c>
      <c r="N53" s="193" t="s">
        <v>429</v>
      </c>
      <c r="O53" s="199" t="s">
        <v>562</v>
      </c>
      <c r="P53" s="199" t="s">
        <v>429</v>
      </c>
      <c r="Q53" s="206"/>
    </row>
    <row r="54" spans="1:17" s="131" customFormat="1" ht="18.75" customHeight="1" thickBot="1" x14ac:dyDescent="0.25">
      <c r="A54" s="133">
        <v>345</v>
      </c>
      <c r="B54" s="133">
        <v>2347696136</v>
      </c>
      <c r="C54" s="203" t="s">
        <v>122</v>
      </c>
      <c r="D54" s="150" t="s">
        <v>123</v>
      </c>
      <c r="E54" s="149" t="s">
        <v>487</v>
      </c>
      <c r="F54" s="151">
        <v>32536</v>
      </c>
      <c r="G54" s="152">
        <v>1989</v>
      </c>
      <c r="H54" s="153" t="e">
        <f>(#REF!-G54)</f>
        <v>#REF!</v>
      </c>
      <c r="I54" s="154">
        <v>38670</v>
      </c>
      <c r="J54" s="155" t="s">
        <v>245</v>
      </c>
      <c r="K54" s="157">
        <v>636284906</v>
      </c>
      <c r="L54" s="130" t="s">
        <v>124</v>
      </c>
      <c r="M54" s="190" t="s">
        <v>427</v>
      </c>
      <c r="N54" s="193" t="s">
        <v>429</v>
      </c>
      <c r="O54" s="199" t="s">
        <v>567</v>
      </c>
      <c r="P54" s="199" t="s">
        <v>429</v>
      </c>
      <c r="Q54" s="208"/>
    </row>
    <row r="55" spans="1:17" s="18" customFormat="1" ht="18.75" customHeight="1" thickBot="1" x14ac:dyDescent="0.25">
      <c r="A55" s="132">
        <v>348</v>
      </c>
      <c r="B55" s="132">
        <v>2347589999</v>
      </c>
      <c r="C55" s="204" t="s">
        <v>125</v>
      </c>
      <c r="D55" s="31" t="s">
        <v>126</v>
      </c>
      <c r="E55" s="41" t="s">
        <v>479</v>
      </c>
      <c r="F55" s="32">
        <v>23993</v>
      </c>
      <c r="G55" s="33">
        <v>1965</v>
      </c>
      <c r="H55" s="86" t="e">
        <f>(#REF!-G55)</f>
        <v>#REF!</v>
      </c>
      <c r="I55" s="67">
        <v>38670</v>
      </c>
      <c r="J55" s="50" t="s">
        <v>246</v>
      </c>
      <c r="K55" s="54">
        <v>677803558</v>
      </c>
      <c r="L55" s="26" t="s">
        <v>127</v>
      </c>
      <c r="M55" s="190" t="s">
        <v>427</v>
      </c>
      <c r="N55" s="193" t="s">
        <v>429</v>
      </c>
      <c r="O55" s="199" t="s">
        <v>565</v>
      </c>
      <c r="P55" s="199" t="s">
        <v>429</v>
      </c>
      <c r="Q55" s="206"/>
    </row>
    <row r="56" spans="1:17" s="18" customFormat="1" ht="18.75" customHeight="1" thickBot="1" x14ac:dyDescent="0.25">
      <c r="A56" s="132">
        <v>349</v>
      </c>
      <c r="B56" s="132">
        <v>2347635005</v>
      </c>
      <c r="C56" s="41" t="s">
        <v>128</v>
      </c>
      <c r="D56" s="31" t="s">
        <v>129</v>
      </c>
      <c r="E56" s="41" t="s">
        <v>536</v>
      </c>
      <c r="F56" s="32">
        <v>25337</v>
      </c>
      <c r="G56" s="33">
        <v>1969</v>
      </c>
      <c r="H56" s="86" t="e">
        <f>(#REF!-G56)</f>
        <v>#REF!</v>
      </c>
      <c r="I56" s="67">
        <v>38674</v>
      </c>
      <c r="J56" s="50" t="s">
        <v>247</v>
      </c>
      <c r="K56" s="54">
        <v>648249754</v>
      </c>
      <c r="L56" s="46" t="s">
        <v>394</v>
      </c>
      <c r="M56" s="190" t="s">
        <v>427</v>
      </c>
      <c r="N56" s="193" t="s">
        <v>429</v>
      </c>
      <c r="O56" s="199" t="s">
        <v>565</v>
      </c>
      <c r="P56" s="199" t="s">
        <v>429</v>
      </c>
      <c r="Q56" s="206"/>
    </row>
    <row r="57" spans="1:17" s="18" customFormat="1" ht="18.75" customHeight="1" thickBot="1" x14ac:dyDescent="0.25">
      <c r="A57" s="132">
        <v>350</v>
      </c>
      <c r="B57" s="132">
        <v>2347632656</v>
      </c>
      <c r="C57" s="41" t="s">
        <v>130</v>
      </c>
      <c r="D57" s="31" t="s">
        <v>131</v>
      </c>
      <c r="E57" s="41" t="s">
        <v>488</v>
      </c>
      <c r="F57" s="32">
        <v>30406</v>
      </c>
      <c r="G57" s="33">
        <v>1983</v>
      </c>
      <c r="H57" s="86" t="e">
        <f>(#REF!-G57)</f>
        <v>#REF!</v>
      </c>
      <c r="I57" s="67">
        <v>38677</v>
      </c>
      <c r="J57" s="50" t="s">
        <v>248</v>
      </c>
      <c r="K57" s="54">
        <v>699641984</v>
      </c>
      <c r="L57" s="26" t="s">
        <v>132</v>
      </c>
      <c r="M57" s="190" t="s">
        <v>427</v>
      </c>
      <c r="N57" s="193" t="s">
        <v>429</v>
      </c>
      <c r="O57" s="199" t="s">
        <v>567</v>
      </c>
      <c r="P57" s="199" t="s">
        <v>429</v>
      </c>
      <c r="Q57" s="206" t="s">
        <v>437</v>
      </c>
    </row>
    <row r="58" spans="1:17" s="131" customFormat="1" ht="18.75" customHeight="1" thickBot="1" x14ac:dyDescent="0.25">
      <c r="A58" s="133">
        <v>352</v>
      </c>
      <c r="B58" s="133">
        <v>2347634335</v>
      </c>
      <c r="C58" s="159" t="s">
        <v>133</v>
      </c>
      <c r="D58" s="150" t="s">
        <v>134</v>
      </c>
      <c r="E58" s="159" t="s">
        <v>489</v>
      </c>
      <c r="F58" s="151">
        <v>27619</v>
      </c>
      <c r="G58" s="152">
        <v>1975</v>
      </c>
      <c r="H58" s="153" t="e">
        <f>(#REF!-G58)</f>
        <v>#REF!</v>
      </c>
      <c r="I58" s="154">
        <v>37958</v>
      </c>
      <c r="J58" s="155" t="s">
        <v>249</v>
      </c>
      <c r="K58" s="157">
        <v>603678054</v>
      </c>
      <c r="L58" s="137" t="s">
        <v>339</v>
      </c>
      <c r="M58" s="190" t="s">
        <v>427</v>
      </c>
      <c r="N58" s="193" t="s">
        <v>429</v>
      </c>
      <c r="O58" s="199" t="s">
        <v>565</v>
      </c>
      <c r="P58" s="199" t="s">
        <v>429</v>
      </c>
      <c r="Q58" s="208"/>
    </row>
    <row r="59" spans="1:17" s="18" customFormat="1" ht="18.75" customHeight="1" thickBot="1" x14ac:dyDescent="0.25">
      <c r="A59" s="132">
        <v>358</v>
      </c>
      <c r="B59" s="132">
        <v>2347594327</v>
      </c>
      <c r="C59" s="113" t="s">
        <v>135</v>
      </c>
      <c r="D59" s="31" t="s">
        <v>136</v>
      </c>
      <c r="E59" s="113" t="s">
        <v>538</v>
      </c>
      <c r="F59" s="32">
        <v>31030</v>
      </c>
      <c r="G59" s="33">
        <v>1984</v>
      </c>
      <c r="H59" s="86" t="e">
        <f>(#REF!-G59)</f>
        <v>#REF!</v>
      </c>
      <c r="I59" s="67">
        <v>39048</v>
      </c>
      <c r="J59" s="50" t="s">
        <v>250</v>
      </c>
      <c r="K59" s="54">
        <v>618448048</v>
      </c>
      <c r="L59" s="26" t="s">
        <v>137</v>
      </c>
      <c r="M59" s="190" t="s">
        <v>427</v>
      </c>
      <c r="N59" s="193" t="s">
        <v>429</v>
      </c>
      <c r="O59" s="199" t="s">
        <v>570</v>
      </c>
      <c r="P59" s="199" t="s">
        <v>429</v>
      </c>
      <c r="Q59" s="206"/>
    </row>
    <row r="60" spans="1:17" s="131" customFormat="1" ht="18.75" customHeight="1" thickBot="1" x14ac:dyDescent="0.25">
      <c r="A60" s="133">
        <v>359</v>
      </c>
      <c r="B60" s="133">
        <v>2347644711</v>
      </c>
      <c r="C60" s="159" t="s">
        <v>138</v>
      </c>
      <c r="D60" s="150" t="s">
        <v>139</v>
      </c>
      <c r="E60" s="159" t="s">
        <v>490</v>
      </c>
      <c r="F60" s="151">
        <v>30792</v>
      </c>
      <c r="G60" s="152">
        <v>1984</v>
      </c>
      <c r="H60" s="153" t="e">
        <f>(#REF!-G60)</f>
        <v>#REF!</v>
      </c>
      <c r="I60" s="154">
        <v>39055</v>
      </c>
      <c r="J60" s="155" t="s">
        <v>251</v>
      </c>
      <c r="K60" s="157">
        <v>615325908</v>
      </c>
      <c r="L60" s="158" t="s">
        <v>225</v>
      </c>
      <c r="M60" s="190" t="s">
        <v>427</v>
      </c>
      <c r="N60" s="193" t="s">
        <v>429</v>
      </c>
      <c r="O60" s="199" t="s">
        <v>565</v>
      </c>
      <c r="P60" s="199" t="s">
        <v>429</v>
      </c>
      <c r="Q60" s="208"/>
    </row>
    <row r="61" spans="1:17" s="18" customFormat="1" ht="18.75" customHeight="1" thickBot="1" x14ac:dyDescent="0.25">
      <c r="A61" s="132">
        <v>361</v>
      </c>
      <c r="B61" s="132">
        <v>2347646687</v>
      </c>
      <c r="C61" s="113" t="s">
        <v>140</v>
      </c>
      <c r="D61" s="31" t="s">
        <v>141</v>
      </c>
      <c r="E61" s="113" t="s">
        <v>491</v>
      </c>
      <c r="F61" s="32">
        <v>32142</v>
      </c>
      <c r="G61" s="33">
        <v>1987</v>
      </c>
      <c r="H61" s="86" t="e">
        <f>(#REF!-G61)</f>
        <v>#REF!</v>
      </c>
      <c r="I61" s="67">
        <v>39505</v>
      </c>
      <c r="J61" s="50" t="s">
        <v>240</v>
      </c>
      <c r="K61" s="54">
        <v>666009550</v>
      </c>
      <c r="L61" s="26" t="s">
        <v>142</v>
      </c>
      <c r="M61" s="190" t="s">
        <v>427</v>
      </c>
      <c r="N61" s="193" t="s">
        <v>429</v>
      </c>
      <c r="O61" s="199" t="s">
        <v>567</v>
      </c>
      <c r="P61" s="199" t="s">
        <v>429</v>
      </c>
      <c r="Q61" s="206"/>
    </row>
    <row r="62" spans="1:17" s="18" customFormat="1" ht="18.75" customHeight="1" thickBot="1" x14ac:dyDescent="0.25">
      <c r="A62" s="132">
        <v>367</v>
      </c>
      <c r="B62" s="132">
        <v>2347612410</v>
      </c>
      <c r="C62" s="42" t="s">
        <v>143</v>
      </c>
      <c r="D62" s="31" t="s">
        <v>144</v>
      </c>
      <c r="E62" s="42" t="s">
        <v>492</v>
      </c>
      <c r="F62" s="32">
        <v>32375</v>
      </c>
      <c r="G62" s="33">
        <v>1988</v>
      </c>
      <c r="H62" s="86" t="e">
        <f>(#REF!-G62)</f>
        <v>#REF!</v>
      </c>
      <c r="I62" s="67">
        <v>40128</v>
      </c>
      <c r="J62" s="50" t="s">
        <v>253</v>
      </c>
      <c r="K62" s="54">
        <v>611154234</v>
      </c>
      <c r="L62" s="46" t="s">
        <v>145</v>
      </c>
      <c r="M62" s="190" t="s">
        <v>427</v>
      </c>
      <c r="N62" s="193" t="s">
        <v>429</v>
      </c>
      <c r="O62" s="199" t="s">
        <v>567</v>
      </c>
      <c r="P62" s="199" t="s">
        <v>429</v>
      </c>
      <c r="Q62" s="206" t="s">
        <v>549</v>
      </c>
    </row>
    <row r="63" spans="1:17" s="18" customFormat="1" ht="18.75" customHeight="1" thickBot="1" x14ac:dyDescent="0.25">
      <c r="A63" s="132">
        <v>368</v>
      </c>
      <c r="B63" s="132">
        <v>2347677422</v>
      </c>
      <c r="C63" s="41" t="s">
        <v>146</v>
      </c>
      <c r="D63" s="31" t="s">
        <v>147</v>
      </c>
      <c r="E63" s="41" t="s">
        <v>493</v>
      </c>
      <c r="F63" s="32">
        <v>30192</v>
      </c>
      <c r="G63" s="33">
        <v>1982</v>
      </c>
      <c r="H63" s="86" t="e">
        <f>(#REF!-G63)</f>
        <v>#REF!</v>
      </c>
      <c r="I63" s="67">
        <v>40128</v>
      </c>
      <c r="J63" s="50" t="s">
        <v>254</v>
      </c>
      <c r="K63" s="54">
        <v>664505787</v>
      </c>
      <c r="L63" s="46" t="s">
        <v>148</v>
      </c>
      <c r="M63" s="190" t="s">
        <v>427</v>
      </c>
      <c r="N63" s="193" t="s">
        <v>429</v>
      </c>
      <c r="O63" s="199" t="s">
        <v>571</v>
      </c>
      <c r="P63" s="199" t="s">
        <v>429</v>
      </c>
      <c r="Q63" s="206" t="s">
        <v>437</v>
      </c>
    </row>
    <row r="64" spans="1:17" s="131" customFormat="1" ht="18.75" customHeight="1" thickBot="1" x14ac:dyDescent="0.3">
      <c r="A64" s="133">
        <v>370</v>
      </c>
      <c r="B64" s="133">
        <v>2347659520</v>
      </c>
      <c r="C64" s="159" t="s">
        <v>345</v>
      </c>
      <c r="D64" s="150" t="s">
        <v>346</v>
      </c>
      <c r="E64" s="159" t="s">
        <v>494</v>
      </c>
      <c r="F64" s="151">
        <v>30089</v>
      </c>
      <c r="G64" s="152">
        <v>1982</v>
      </c>
      <c r="H64" s="153" t="e">
        <f>(#REF!-G64)</f>
        <v>#REF!</v>
      </c>
      <c r="I64" s="154">
        <v>40847</v>
      </c>
      <c r="J64" s="128" t="s">
        <v>347</v>
      </c>
      <c r="K64" s="172">
        <v>675418170</v>
      </c>
      <c r="L64" s="173" t="s">
        <v>390</v>
      </c>
      <c r="M64" s="190" t="s">
        <v>427</v>
      </c>
      <c r="N64" s="193" t="s">
        <v>429</v>
      </c>
      <c r="O64" s="199" t="s">
        <v>567</v>
      </c>
      <c r="P64" s="199" t="s">
        <v>429</v>
      </c>
      <c r="Q64" s="208"/>
    </row>
    <row r="65" spans="1:17" s="18" customFormat="1" ht="18.75" customHeight="1" thickBot="1" x14ac:dyDescent="0.25">
      <c r="A65" s="132">
        <v>371</v>
      </c>
      <c r="B65" s="132">
        <v>2347662088</v>
      </c>
      <c r="C65" s="42" t="s">
        <v>149</v>
      </c>
      <c r="D65" s="25" t="s">
        <v>150</v>
      </c>
      <c r="E65" s="42" t="s">
        <v>539</v>
      </c>
      <c r="F65" s="35">
        <v>23614</v>
      </c>
      <c r="G65" s="34">
        <v>1964</v>
      </c>
      <c r="H65" s="86" t="e">
        <f>(#REF!-G65)</f>
        <v>#REF!</v>
      </c>
      <c r="I65" s="67">
        <v>41599</v>
      </c>
      <c r="J65" s="50" t="s">
        <v>255</v>
      </c>
      <c r="K65" s="54">
        <v>628440284</v>
      </c>
      <c r="L65" s="26" t="s">
        <v>151</v>
      </c>
      <c r="M65" s="190" t="s">
        <v>427</v>
      </c>
      <c r="N65" s="193" t="s">
        <v>429</v>
      </c>
      <c r="O65" s="199" t="s">
        <v>565</v>
      </c>
      <c r="P65" s="199" t="s">
        <v>429</v>
      </c>
      <c r="Q65" s="206"/>
    </row>
    <row r="66" spans="1:17" s="18" customFormat="1" ht="18.75" customHeight="1" thickBot="1" x14ac:dyDescent="0.25">
      <c r="A66" s="132">
        <v>375</v>
      </c>
      <c r="B66" s="132">
        <v>2347604905</v>
      </c>
      <c r="C66" s="42" t="s">
        <v>152</v>
      </c>
      <c r="D66" s="25" t="s">
        <v>153</v>
      </c>
      <c r="E66" s="42" t="s">
        <v>495</v>
      </c>
      <c r="F66" s="24">
        <v>32232</v>
      </c>
      <c r="G66" s="23">
        <v>1988</v>
      </c>
      <c r="H66" s="86" t="e">
        <f>(#REF!-G66)</f>
        <v>#REF!</v>
      </c>
      <c r="I66" s="67">
        <v>42691</v>
      </c>
      <c r="J66" s="50" t="s">
        <v>256</v>
      </c>
      <c r="K66" s="54">
        <v>657212268</v>
      </c>
      <c r="L66" s="46" t="s">
        <v>154</v>
      </c>
      <c r="M66" s="190" t="s">
        <v>427</v>
      </c>
      <c r="N66" s="193" t="s">
        <v>429</v>
      </c>
      <c r="O66" s="199" t="s">
        <v>565</v>
      </c>
      <c r="P66" s="199" t="s">
        <v>429</v>
      </c>
      <c r="Q66" s="206" t="s">
        <v>549</v>
      </c>
    </row>
    <row r="67" spans="1:17" s="170" customFormat="1" ht="18.75" customHeight="1" thickBot="1" x14ac:dyDescent="0.25">
      <c r="A67" s="160"/>
      <c r="B67" s="160"/>
      <c r="C67" s="174" t="s">
        <v>155</v>
      </c>
      <c r="D67" s="175" t="s">
        <v>156</v>
      </c>
      <c r="E67" s="174" t="s">
        <v>496</v>
      </c>
      <c r="F67" s="176">
        <v>35302</v>
      </c>
      <c r="G67" s="177">
        <v>1996</v>
      </c>
      <c r="H67" s="165" t="e">
        <f>(#REF!-G67)</f>
        <v>#REF!</v>
      </c>
      <c r="I67" s="166">
        <v>42691</v>
      </c>
      <c r="J67" s="167" t="s">
        <v>257</v>
      </c>
      <c r="K67" s="168">
        <v>635250579</v>
      </c>
      <c r="L67" s="169" t="s">
        <v>157</v>
      </c>
      <c r="M67" s="190" t="s">
        <v>427</v>
      </c>
      <c r="N67" s="193" t="s">
        <v>429</v>
      </c>
      <c r="O67" s="199" t="s">
        <v>565</v>
      </c>
      <c r="P67" s="199" t="s">
        <v>436</v>
      </c>
      <c r="Q67" s="209"/>
    </row>
    <row r="68" spans="1:17" s="18" customFormat="1" ht="18.75" customHeight="1" thickBot="1" x14ac:dyDescent="0.25">
      <c r="A68" s="132">
        <v>381</v>
      </c>
      <c r="B68" s="132">
        <v>2347618343</v>
      </c>
      <c r="C68" s="42" t="s">
        <v>158</v>
      </c>
      <c r="D68" s="25" t="s">
        <v>159</v>
      </c>
      <c r="E68" s="42" t="s">
        <v>453</v>
      </c>
      <c r="F68" s="24">
        <v>28116</v>
      </c>
      <c r="G68" s="23">
        <v>1976</v>
      </c>
      <c r="H68" s="86" t="e">
        <f>(#REF!-G68)</f>
        <v>#REF!</v>
      </c>
      <c r="I68" s="67">
        <v>42691</v>
      </c>
      <c r="J68" s="50" t="s">
        <v>258</v>
      </c>
      <c r="K68" s="54">
        <v>696634897</v>
      </c>
      <c r="L68" s="46" t="s">
        <v>160</v>
      </c>
      <c r="M68" s="190" t="s">
        <v>427</v>
      </c>
      <c r="N68" s="193" t="s">
        <v>429</v>
      </c>
      <c r="O68" s="199" t="s">
        <v>565</v>
      </c>
      <c r="P68" s="199" t="s">
        <v>429</v>
      </c>
      <c r="Q68" s="206" t="s">
        <v>437</v>
      </c>
    </row>
    <row r="69" spans="1:17" s="131" customFormat="1" ht="18.75" customHeight="1" thickBot="1" x14ac:dyDescent="0.25">
      <c r="A69" s="133">
        <v>382</v>
      </c>
      <c r="B69" s="133">
        <v>2347652686</v>
      </c>
      <c r="C69" s="171" t="s">
        <v>161</v>
      </c>
      <c r="D69" s="127" t="s">
        <v>162</v>
      </c>
      <c r="E69" s="171" t="s">
        <v>497</v>
      </c>
      <c r="F69" s="126">
        <v>22707</v>
      </c>
      <c r="G69" s="125">
        <v>1962</v>
      </c>
      <c r="H69" s="153" t="e">
        <f>(#REF!-G69)</f>
        <v>#REF!</v>
      </c>
      <c r="I69" s="154">
        <v>42691</v>
      </c>
      <c r="J69" s="155" t="s">
        <v>259</v>
      </c>
      <c r="K69" s="178">
        <v>606113128</v>
      </c>
      <c r="L69" s="137" t="s">
        <v>303</v>
      </c>
      <c r="M69" s="190" t="s">
        <v>427</v>
      </c>
      <c r="N69" s="193" t="s">
        <v>429</v>
      </c>
      <c r="O69" s="199" t="s">
        <v>565</v>
      </c>
      <c r="P69" s="199" t="s">
        <v>429</v>
      </c>
      <c r="Q69" s="208"/>
    </row>
    <row r="70" spans="1:17" s="18" customFormat="1" ht="18.75" customHeight="1" thickBot="1" x14ac:dyDescent="0.25">
      <c r="A70" s="132">
        <v>385</v>
      </c>
      <c r="B70" s="132">
        <v>2347663998</v>
      </c>
      <c r="C70" s="42" t="s">
        <v>163</v>
      </c>
      <c r="D70" s="25" t="s">
        <v>164</v>
      </c>
      <c r="E70" s="42" t="s">
        <v>498</v>
      </c>
      <c r="F70" s="24">
        <v>32241</v>
      </c>
      <c r="G70" s="23">
        <v>1988</v>
      </c>
      <c r="H70" s="86" t="e">
        <f>(#REF!-G70)</f>
        <v>#REF!</v>
      </c>
      <c r="I70" s="67"/>
      <c r="J70" s="50" t="s">
        <v>260</v>
      </c>
      <c r="K70" s="53"/>
      <c r="L70" s="26" t="s">
        <v>165</v>
      </c>
      <c r="M70" s="190" t="s">
        <v>427</v>
      </c>
      <c r="N70" s="193" t="s">
        <v>429</v>
      </c>
      <c r="O70" s="199" t="s">
        <v>565</v>
      </c>
      <c r="P70" s="199" t="s">
        <v>429</v>
      </c>
      <c r="Q70" s="206"/>
    </row>
    <row r="71" spans="1:17" s="18" customFormat="1" ht="18.75" customHeight="1" thickBot="1" x14ac:dyDescent="0.25">
      <c r="A71" s="132">
        <v>389</v>
      </c>
      <c r="B71" s="132">
        <v>2347728638</v>
      </c>
      <c r="C71" s="42" t="s">
        <v>166</v>
      </c>
      <c r="D71" s="25" t="s">
        <v>167</v>
      </c>
      <c r="E71" s="42" t="s">
        <v>499</v>
      </c>
      <c r="F71" s="24">
        <v>30006</v>
      </c>
      <c r="G71" s="23">
        <v>1982</v>
      </c>
      <c r="H71" s="86" t="e">
        <f>(#REF!-G71)</f>
        <v>#REF!</v>
      </c>
      <c r="I71" s="67">
        <v>43047</v>
      </c>
      <c r="J71" s="50" t="s">
        <v>261</v>
      </c>
      <c r="K71" s="54">
        <v>624005941</v>
      </c>
      <c r="L71" s="46" t="s">
        <v>168</v>
      </c>
      <c r="M71" s="190" t="s">
        <v>427</v>
      </c>
      <c r="N71" s="193" t="s">
        <v>429</v>
      </c>
      <c r="O71" s="199" t="s">
        <v>565</v>
      </c>
      <c r="P71" s="199" t="s">
        <v>429</v>
      </c>
      <c r="Q71" s="206"/>
    </row>
    <row r="72" spans="1:17" s="18" customFormat="1" ht="18.75" customHeight="1" thickBot="1" x14ac:dyDescent="0.25">
      <c r="A72" s="132">
        <v>414</v>
      </c>
      <c r="B72" s="132">
        <v>2347718126</v>
      </c>
      <c r="C72" s="43" t="s">
        <v>174</v>
      </c>
      <c r="D72" s="25" t="s">
        <v>175</v>
      </c>
      <c r="E72" s="43" t="s">
        <v>500</v>
      </c>
      <c r="F72" s="36">
        <v>35141</v>
      </c>
      <c r="G72" s="23">
        <v>1996</v>
      </c>
      <c r="H72" s="86" t="e">
        <f>(#REF!-G72)</f>
        <v>#REF!</v>
      </c>
      <c r="I72" s="67">
        <v>43775</v>
      </c>
      <c r="J72" s="50" t="s">
        <v>263</v>
      </c>
      <c r="K72" s="55">
        <v>659046203</v>
      </c>
      <c r="L72" s="46" t="s">
        <v>176</v>
      </c>
      <c r="M72" s="190" t="s">
        <v>427</v>
      </c>
      <c r="N72" s="193" t="s">
        <v>429</v>
      </c>
      <c r="O72" s="199" t="s">
        <v>565</v>
      </c>
      <c r="P72" s="199" t="s">
        <v>429</v>
      </c>
      <c r="Q72" s="206"/>
    </row>
    <row r="73" spans="1:17" ht="18.75" customHeight="1" thickBot="1" x14ac:dyDescent="0.25">
      <c r="A73" s="132">
        <v>415</v>
      </c>
      <c r="B73" s="132">
        <v>2347617867</v>
      </c>
      <c r="C73" s="43" t="s">
        <v>177</v>
      </c>
      <c r="D73" s="25" t="s">
        <v>178</v>
      </c>
      <c r="E73" s="43" t="s">
        <v>501</v>
      </c>
      <c r="F73" s="24">
        <v>36057</v>
      </c>
      <c r="G73" s="23">
        <v>1998</v>
      </c>
      <c r="H73" s="86" t="e">
        <f>(#REF!-G73)</f>
        <v>#REF!</v>
      </c>
      <c r="I73" s="67">
        <v>43775</v>
      </c>
      <c r="J73" s="50" t="s">
        <v>264</v>
      </c>
      <c r="K73" s="55">
        <v>639234159</v>
      </c>
      <c r="L73" s="26" t="s">
        <v>179</v>
      </c>
      <c r="M73" s="190" t="s">
        <v>427</v>
      </c>
      <c r="N73" s="193" t="s">
        <v>429</v>
      </c>
      <c r="O73" s="199" t="s">
        <v>565</v>
      </c>
      <c r="P73" s="199" t="s">
        <v>429</v>
      </c>
    </row>
    <row r="74" spans="1:17" ht="18.75" customHeight="1" thickBot="1" x14ac:dyDescent="0.25">
      <c r="A74" s="132">
        <v>416</v>
      </c>
      <c r="B74" s="132">
        <v>2347651118</v>
      </c>
      <c r="C74" s="43" t="s">
        <v>180</v>
      </c>
      <c r="D74" s="25" t="s">
        <v>181</v>
      </c>
      <c r="E74" s="43" t="s">
        <v>502</v>
      </c>
      <c r="F74" s="24">
        <v>35776</v>
      </c>
      <c r="G74" s="23">
        <v>1997</v>
      </c>
      <c r="H74" s="86" t="e">
        <f>(#REF!-G74)</f>
        <v>#REF!</v>
      </c>
      <c r="I74" s="67">
        <v>43775</v>
      </c>
      <c r="J74" s="50" t="s">
        <v>265</v>
      </c>
      <c r="K74" s="55">
        <v>653706607</v>
      </c>
      <c r="L74" s="26" t="s">
        <v>182</v>
      </c>
      <c r="M74" s="190" t="s">
        <v>427</v>
      </c>
      <c r="N74" s="193" t="s">
        <v>429</v>
      </c>
      <c r="O74" s="199" t="s">
        <v>565</v>
      </c>
      <c r="P74" s="199" t="s">
        <v>429</v>
      </c>
    </row>
    <row r="75" spans="1:17" s="179" customFormat="1" ht="18.75" customHeight="1" thickBot="1" x14ac:dyDescent="0.25">
      <c r="A75" s="133">
        <v>423</v>
      </c>
      <c r="B75" s="133">
        <v>2347698939</v>
      </c>
      <c r="C75" s="180" t="s">
        <v>185</v>
      </c>
      <c r="D75" s="127" t="s">
        <v>186</v>
      </c>
      <c r="E75" s="180" t="s">
        <v>503</v>
      </c>
      <c r="F75" s="126">
        <v>33379</v>
      </c>
      <c r="G75" s="125">
        <v>1991</v>
      </c>
      <c r="H75" s="153" t="e">
        <f>(#REF!-G75)</f>
        <v>#REF!</v>
      </c>
      <c r="I75" s="154">
        <v>43777</v>
      </c>
      <c r="J75" s="155" t="s">
        <v>266</v>
      </c>
      <c r="K75" s="157">
        <v>685250026</v>
      </c>
      <c r="L75" s="130" t="s">
        <v>187</v>
      </c>
      <c r="M75" s="190" t="s">
        <v>427</v>
      </c>
      <c r="N75" s="193" t="s">
        <v>429</v>
      </c>
      <c r="O75" s="199" t="s">
        <v>565</v>
      </c>
      <c r="P75" s="199" t="s">
        <v>429</v>
      </c>
      <c r="Q75" s="208"/>
    </row>
    <row r="76" spans="1:17" s="179" customFormat="1" ht="18.75" customHeight="1" thickBot="1" x14ac:dyDescent="0.25">
      <c r="A76" s="133">
        <v>424</v>
      </c>
      <c r="B76" s="133">
        <v>2347634872</v>
      </c>
      <c r="C76" s="180" t="s">
        <v>188</v>
      </c>
      <c r="D76" s="127" t="s">
        <v>189</v>
      </c>
      <c r="E76" s="180" t="s">
        <v>504</v>
      </c>
      <c r="F76" s="126">
        <v>36315</v>
      </c>
      <c r="G76" s="125">
        <v>1999</v>
      </c>
      <c r="H76" s="153" t="e">
        <f>(#REF!-G76)</f>
        <v>#REF!</v>
      </c>
      <c r="I76" s="154">
        <v>43833</v>
      </c>
      <c r="J76" s="155" t="s">
        <v>267</v>
      </c>
      <c r="K76" s="157">
        <v>643587005</v>
      </c>
      <c r="L76" s="130" t="s">
        <v>190</v>
      </c>
      <c r="M76" s="190" t="s">
        <v>427</v>
      </c>
      <c r="N76" s="193" t="s">
        <v>429</v>
      </c>
      <c r="O76" s="199" t="s">
        <v>567</v>
      </c>
      <c r="P76" s="199" t="s">
        <v>429</v>
      </c>
      <c r="Q76" s="208"/>
    </row>
    <row r="77" spans="1:17" s="179" customFormat="1" ht="18.75" customHeight="1" thickBot="1" x14ac:dyDescent="0.25">
      <c r="A77" s="118">
        <v>441</v>
      </c>
      <c r="B77" s="118">
        <v>2347633831</v>
      </c>
      <c r="C77" s="181" t="s">
        <v>318</v>
      </c>
      <c r="D77" s="182" t="s">
        <v>319</v>
      </c>
      <c r="E77" s="181" t="s">
        <v>454</v>
      </c>
      <c r="F77" s="126">
        <v>34745</v>
      </c>
      <c r="G77" s="125">
        <v>1995</v>
      </c>
      <c r="H77" s="153" t="e">
        <f>(#REF!-G77)</f>
        <v>#REF!</v>
      </c>
      <c r="I77" s="154">
        <v>44869</v>
      </c>
      <c r="J77" s="183" t="s">
        <v>320</v>
      </c>
      <c r="K77" s="184">
        <v>635056699</v>
      </c>
      <c r="L77" s="185" t="s">
        <v>338</v>
      </c>
      <c r="M77" s="190" t="s">
        <v>427</v>
      </c>
      <c r="N77" s="193" t="s">
        <v>429</v>
      </c>
      <c r="O77" s="199" t="s">
        <v>565</v>
      </c>
      <c r="P77" s="199" t="s">
        <v>429</v>
      </c>
      <c r="Q77" s="208"/>
    </row>
    <row r="78" spans="1:17" ht="18.75" customHeight="1" x14ac:dyDescent="0.2">
      <c r="A78" s="135">
        <v>442</v>
      </c>
      <c r="B78" s="135">
        <v>2347660417</v>
      </c>
      <c r="C78" s="76" t="s">
        <v>191</v>
      </c>
      <c r="D78" s="77" t="s">
        <v>192</v>
      </c>
      <c r="E78" s="76" t="s">
        <v>540</v>
      </c>
      <c r="F78" s="78">
        <v>30454</v>
      </c>
      <c r="G78" s="79">
        <v>1983</v>
      </c>
      <c r="H78" s="86" t="e">
        <f>(#REF!-G78)</f>
        <v>#REF!</v>
      </c>
      <c r="I78" s="80">
        <v>44872</v>
      </c>
      <c r="J78" s="72" t="s">
        <v>268</v>
      </c>
      <c r="K78" s="73">
        <v>661729279</v>
      </c>
      <c r="L78" s="45" t="s">
        <v>193</v>
      </c>
      <c r="M78" s="190" t="s">
        <v>427</v>
      </c>
      <c r="N78" s="193" t="s">
        <v>429</v>
      </c>
      <c r="O78" s="199" t="s">
        <v>565</v>
      </c>
      <c r="P78" s="199" t="s">
        <v>429</v>
      </c>
    </row>
    <row r="79" spans="1:17" s="179" customFormat="1" ht="18.75" customHeight="1" x14ac:dyDescent="0.2">
      <c r="A79" s="186">
        <v>446</v>
      </c>
      <c r="B79" s="186">
        <v>2347597664</v>
      </c>
      <c r="C79" s="187" t="s">
        <v>334</v>
      </c>
      <c r="D79" s="182" t="s">
        <v>183</v>
      </c>
      <c r="E79" s="187" t="s">
        <v>505</v>
      </c>
      <c r="F79" s="126">
        <v>35523</v>
      </c>
      <c r="G79" s="125">
        <v>1997</v>
      </c>
      <c r="H79" s="188" t="e">
        <f>(#REF!-G79)</f>
        <v>#REF!</v>
      </c>
      <c r="I79" s="154">
        <v>44896</v>
      </c>
      <c r="J79" s="128" t="s">
        <v>344</v>
      </c>
      <c r="K79" s="178">
        <v>692304474</v>
      </c>
      <c r="L79" s="130" t="s">
        <v>184</v>
      </c>
      <c r="M79" s="190" t="s">
        <v>427</v>
      </c>
      <c r="N79" s="193" t="s">
        <v>429</v>
      </c>
      <c r="O79" s="199" t="s">
        <v>565</v>
      </c>
      <c r="P79" s="199" t="s">
        <v>429</v>
      </c>
      <c r="Q79" s="208"/>
    </row>
    <row r="80" spans="1:17" s="179" customFormat="1" ht="18.75" customHeight="1" x14ac:dyDescent="0.2">
      <c r="A80" s="186">
        <v>448</v>
      </c>
      <c r="B80" s="186">
        <v>2347626839</v>
      </c>
      <c r="C80" s="187" t="s">
        <v>333</v>
      </c>
      <c r="D80" s="182" t="s">
        <v>336</v>
      </c>
      <c r="E80" s="187" t="s">
        <v>506</v>
      </c>
      <c r="F80" s="126">
        <v>30769</v>
      </c>
      <c r="G80" s="125">
        <v>1984</v>
      </c>
      <c r="H80" s="188" t="e">
        <f>(#REF!-G80)</f>
        <v>#REF!</v>
      </c>
      <c r="I80" s="154">
        <v>44914</v>
      </c>
      <c r="J80" s="128" t="s">
        <v>335</v>
      </c>
      <c r="K80" s="184">
        <v>651679191</v>
      </c>
      <c r="L80" s="137" t="s">
        <v>340</v>
      </c>
      <c r="M80" s="190" t="s">
        <v>427</v>
      </c>
      <c r="N80" s="193" t="s">
        <v>429</v>
      </c>
      <c r="O80" s="199" t="s">
        <v>565</v>
      </c>
      <c r="P80" s="199" t="s">
        <v>429</v>
      </c>
      <c r="Q80" s="208"/>
    </row>
    <row r="81" spans="1:17" ht="18.75" customHeight="1" x14ac:dyDescent="0.25">
      <c r="A81" s="87">
        <v>452</v>
      </c>
      <c r="B81" s="87">
        <v>2347672591</v>
      </c>
      <c r="C81" s="47" t="s">
        <v>348</v>
      </c>
      <c r="D81" s="106" t="s">
        <v>389</v>
      </c>
      <c r="E81" s="47" t="s">
        <v>507</v>
      </c>
      <c r="F81" s="108">
        <v>35122</v>
      </c>
      <c r="G81" s="23">
        <v>1996</v>
      </c>
      <c r="H81" s="85" t="e">
        <f>(#REF!-G81)</f>
        <v>#REF!</v>
      </c>
      <c r="I81" s="104">
        <v>45250</v>
      </c>
      <c r="J81" s="53" t="s">
        <v>375</v>
      </c>
      <c r="K81" s="56">
        <v>657770044</v>
      </c>
      <c r="L81" s="81" t="s">
        <v>358</v>
      </c>
      <c r="M81" s="190" t="s">
        <v>427</v>
      </c>
      <c r="N81" s="193" t="s">
        <v>429</v>
      </c>
      <c r="O81" s="199" t="s">
        <v>565</v>
      </c>
      <c r="P81" s="199" t="s">
        <v>429</v>
      </c>
    </row>
    <row r="82" spans="1:17" ht="18.75" customHeight="1" x14ac:dyDescent="0.25">
      <c r="A82" s="87">
        <v>453</v>
      </c>
      <c r="B82" s="87">
        <v>2347712398</v>
      </c>
      <c r="C82" s="47" t="s">
        <v>349</v>
      </c>
      <c r="D82" s="106" t="s">
        <v>388</v>
      </c>
      <c r="E82" s="47" t="s">
        <v>508</v>
      </c>
      <c r="F82" s="108">
        <v>37947</v>
      </c>
      <c r="G82" s="23">
        <v>2003</v>
      </c>
      <c r="H82" s="85" t="e">
        <f>(#REF!-G82)</f>
        <v>#REF!</v>
      </c>
      <c r="I82" s="104">
        <v>45250</v>
      </c>
      <c r="J82" s="53" t="s">
        <v>229</v>
      </c>
      <c r="K82" s="56">
        <v>646334840</v>
      </c>
      <c r="L82" s="110" t="s">
        <v>376</v>
      </c>
      <c r="M82" s="190" t="s">
        <v>427</v>
      </c>
      <c r="N82" s="193" t="s">
        <v>429</v>
      </c>
      <c r="O82" s="199" t="s">
        <v>565</v>
      </c>
      <c r="P82" s="199" t="s">
        <v>429</v>
      </c>
    </row>
    <row r="83" spans="1:17" ht="18.75" customHeight="1" x14ac:dyDescent="0.25">
      <c r="A83" s="87">
        <v>454</v>
      </c>
      <c r="B83" s="87">
        <v>2347625080</v>
      </c>
      <c r="C83" s="114" t="s">
        <v>350</v>
      </c>
      <c r="D83" s="106" t="s">
        <v>387</v>
      </c>
      <c r="E83" s="114" t="s">
        <v>509</v>
      </c>
      <c r="F83" s="108">
        <v>32755</v>
      </c>
      <c r="G83" s="23">
        <v>1989</v>
      </c>
      <c r="H83" s="85" t="e">
        <f>(#REF!-G83)</f>
        <v>#REF!</v>
      </c>
      <c r="I83" s="104">
        <v>45257</v>
      </c>
      <c r="J83" s="109" t="s">
        <v>337</v>
      </c>
      <c r="K83" s="56">
        <v>666331761</v>
      </c>
      <c r="L83" s="110" t="s">
        <v>377</v>
      </c>
      <c r="M83" s="190" t="s">
        <v>427</v>
      </c>
      <c r="N83" s="193" t="s">
        <v>429</v>
      </c>
      <c r="O83" s="199" t="s">
        <v>565</v>
      </c>
      <c r="P83" s="199" t="s">
        <v>429</v>
      </c>
    </row>
    <row r="84" spans="1:17" ht="18.75" customHeight="1" x14ac:dyDescent="0.25">
      <c r="A84" s="88">
        <v>463</v>
      </c>
      <c r="B84" s="88">
        <v>2347618400</v>
      </c>
      <c r="C84" s="114" t="s">
        <v>351</v>
      </c>
      <c r="D84" s="107" t="s">
        <v>386</v>
      </c>
      <c r="E84" s="114" t="s">
        <v>510</v>
      </c>
      <c r="F84" s="108">
        <v>29566</v>
      </c>
      <c r="G84" s="23">
        <v>1980</v>
      </c>
      <c r="H84" s="85" t="e">
        <f>(#REF!-G84)</f>
        <v>#REF!</v>
      </c>
      <c r="I84" s="104">
        <v>45369</v>
      </c>
      <c r="J84" s="109" t="s">
        <v>379</v>
      </c>
      <c r="K84" s="56">
        <v>641791872</v>
      </c>
      <c r="L84" s="110" t="s">
        <v>378</v>
      </c>
      <c r="M84" s="190" t="s">
        <v>427</v>
      </c>
      <c r="N84" s="193" t="s">
        <v>429</v>
      </c>
      <c r="O84" s="199" t="s">
        <v>567</v>
      </c>
      <c r="P84" s="199" t="s">
        <v>429</v>
      </c>
    </row>
    <row r="85" spans="1:17" ht="18.75" customHeight="1" x14ac:dyDescent="0.2">
      <c r="A85" s="88">
        <v>464</v>
      </c>
      <c r="B85" s="88">
        <v>2347634485</v>
      </c>
      <c r="C85" s="114" t="s">
        <v>352</v>
      </c>
      <c r="D85" s="107" t="s">
        <v>385</v>
      </c>
      <c r="E85" s="114" t="s">
        <v>511</v>
      </c>
      <c r="F85" s="98">
        <v>36838</v>
      </c>
      <c r="G85" s="16">
        <v>2000</v>
      </c>
      <c r="H85" s="84" t="e">
        <f>(#REF!-G85)</f>
        <v>#REF!</v>
      </c>
      <c r="I85" s="105">
        <v>45369</v>
      </c>
      <c r="J85" s="109" t="s">
        <v>380</v>
      </c>
      <c r="K85" s="56">
        <v>643496808</v>
      </c>
      <c r="L85" s="46" t="s">
        <v>357</v>
      </c>
      <c r="M85" s="190" t="s">
        <v>427</v>
      </c>
      <c r="N85" s="193" t="s">
        <v>429</v>
      </c>
      <c r="O85" s="199" t="s">
        <v>567</v>
      </c>
      <c r="P85" s="199" t="s">
        <v>429</v>
      </c>
    </row>
    <row r="86" spans="1:17" ht="18.75" customHeight="1" x14ac:dyDescent="0.2">
      <c r="A86" s="88">
        <v>465</v>
      </c>
      <c r="B86" s="88">
        <v>2347611218</v>
      </c>
      <c r="C86" s="114" t="s">
        <v>353</v>
      </c>
      <c r="D86" s="107" t="s">
        <v>384</v>
      </c>
      <c r="E86" s="114" t="s">
        <v>512</v>
      </c>
      <c r="F86" s="98">
        <v>36835</v>
      </c>
      <c r="G86" s="23">
        <v>2000</v>
      </c>
      <c r="H86" s="85" t="e">
        <f>(#REF!-G86)</f>
        <v>#REF!</v>
      </c>
      <c r="I86" s="104">
        <v>45369</v>
      </c>
      <c r="J86" s="109" t="s">
        <v>381</v>
      </c>
      <c r="K86" s="56">
        <v>642314511</v>
      </c>
      <c r="L86" s="46" t="s">
        <v>356</v>
      </c>
      <c r="M86" s="190" t="s">
        <v>427</v>
      </c>
      <c r="N86" s="193" t="s">
        <v>429</v>
      </c>
      <c r="O86" s="199" t="s">
        <v>567</v>
      </c>
      <c r="P86" s="199" t="s">
        <v>429</v>
      </c>
    </row>
    <row r="87" spans="1:17" ht="18.75" customHeight="1" x14ac:dyDescent="0.25">
      <c r="A87" s="88">
        <v>466</v>
      </c>
      <c r="B87" s="88">
        <v>2347598236</v>
      </c>
      <c r="C87" s="114" t="s">
        <v>354</v>
      </c>
      <c r="D87" s="107" t="s">
        <v>383</v>
      </c>
      <c r="E87" s="114" t="s">
        <v>513</v>
      </c>
      <c r="F87" s="98">
        <v>35867</v>
      </c>
      <c r="G87" s="23">
        <v>1998</v>
      </c>
      <c r="H87" s="85" t="e">
        <f>(#REF!-G87)</f>
        <v>#REF!</v>
      </c>
      <c r="I87" s="104">
        <v>45387</v>
      </c>
      <c r="J87" s="109" t="s">
        <v>382</v>
      </c>
      <c r="K87" s="56">
        <v>626568330</v>
      </c>
      <c r="L87" s="81" t="s">
        <v>359</v>
      </c>
      <c r="M87" s="190" t="s">
        <v>427</v>
      </c>
      <c r="N87" s="193" t="s">
        <v>429</v>
      </c>
      <c r="O87" s="199" t="s">
        <v>565</v>
      </c>
      <c r="P87" s="199" t="s">
        <v>429</v>
      </c>
    </row>
    <row r="88" spans="1:17" ht="18.75" customHeight="1" x14ac:dyDescent="0.25">
      <c r="A88" s="88">
        <v>467</v>
      </c>
      <c r="B88" s="88">
        <v>2347670738</v>
      </c>
      <c r="C88" s="114" t="s">
        <v>407</v>
      </c>
      <c r="D88" s="107" t="s">
        <v>413</v>
      </c>
      <c r="E88" s="114" t="s">
        <v>514</v>
      </c>
      <c r="F88" s="98">
        <v>35390</v>
      </c>
      <c r="G88" s="23">
        <v>1996</v>
      </c>
      <c r="H88" s="85" t="e">
        <f>(#REF!-G88)</f>
        <v>#REF!</v>
      </c>
      <c r="I88" s="104">
        <v>45992</v>
      </c>
      <c r="J88" s="109" t="s">
        <v>415</v>
      </c>
      <c r="K88" s="56"/>
      <c r="L88" s="81"/>
      <c r="M88" s="190" t="s">
        <v>427</v>
      </c>
      <c r="N88" s="193" t="s">
        <v>429</v>
      </c>
      <c r="O88" s="199" t="s">
        <v>565</v>
      </c>
      <c r="P88" s="199" t="s">
        <v>429</v>
      </c>
    </row>
    <row r="89" spans="1:17" ht="18.75" customHeight="1" x14ac:dyDescent="0.25">
      <c r="A89" s="88">
        <v>468</v>
      </c>
      <c r="B89" s="88">
        <v>2347659843</v>
      </c>
      <c r="C89" s="114" t="s">
        <v>408</v>
      </c>
      <c r="D89" s="107" t="s">
        <v>412</v>
      </c>
      <c r="E89" s="114" t="s">
        <v>542</v>
      </c>
      <c r="F89" s="98">
        <v>35574</v>
      </c>
      <c r="G89" s="23">
        <v>1997</v>
      </c>
      <c r="H89" s="85" t="e">
        <f>(#REF!-G89)</f>
        <v>#REF!</v>
      </c>
      <c r="I89" s="104">
        <v>45992</v>
      </c>
      <c r="J89" s="109" t="s">
        <v>414</v>
      </c>
      <c r="K89" s="56"/>
      <c r="L89" s="81"/>
      <c r="M89" s="190" t="s">
        <v>427</v>
      </c>
      <c r="N89" s="193" t="s">
        <v>429</v>
      </c>
      <c r="O89" s="199" t="s">
        <v>565</v>
      </c>
      <c r="P89" s="199" t="s">
        <v>429</v>
      </c>
    </row>
    <row r="90" spans="1:17" ht="18.75" customHeight="1" x14ac:dyDescent="0.25">
      <c r="A90" s="88">
        <v>472</v>
      </c>
      <c r="B90" s="88">
        <v>1650119058</v>
      </c>
      <c r="C90" s="114" t="s">
        <v>409</v>
      </c>
      <c r="D90" s="107" t="s">
        <v>410</v>
      </c>
      <c r="E90" s="114" t="s">
        <v>541</v>
      </c>
      <c r="F90" s="98">
        <v>24678</v>
      </c>
      <c r="G90" s="23">
        <v>1967</v>
      </c>
      <c r="H90" s="85" t="e">
        <f>(#REF!-G90)</f>
        <v>#REF!</v>
      </c>
      <c r="I90" s="104">
        <v>45936</v>
      </c>
      <c r="J90" s="109" t="s">
        <v>411</v>
      </c>
      <c r="K90" s="56"/>
      <c r="L90" s="81"/>
      <c r="M90" s="190" t="s">
        <v>427</v>
      </c>
      <c r="N90" s="193" t="s">
        <v>429</v>
      </c>
      <c r="O90" s="199" t="s">
        <v>565</v>
      </c>
      <c r="P90" s="199" t="s">
        <v>429</v>
      </c>
    </row>
    <row r="91" spans="1:17" s="18" customFormat="1" ht="18.75" customHeight="1" x14ac:dyDescent="0.2">
      <c r="A91" s="44">
        <v>20004</v>
      </c>
      <c r="B91" s="44">
        <v>2347610600</v>
      </c>
      <c r="C91" s="111" t="s">
        <v>194</v>
      </c>
      <c r="D91" s="37" t="s">
        <v>195</v>
      </c>
      <c r="E91" s="111" t="s">
        <v>515</v>
      </c>
      <c r="F91" s="21">
        <v>28884</v>
      </c>
      <c r="G91" s="22">
        <v>1979</v>
      </c>
      <c r="H91" s="15" t="e">
        <f>(#REF!-G91)</f>
        <v>#REF!</v>
      </c>
      <c r="I91" s="14">
        <v>38546</v>
      </c>
      <c r="J91" s="50" t="s">
        <v>308</v>
      </c>
      <c r="K91" s="58">
        <v>680249395</v>
      </c>
      <c r="L91" s="46" t="s">
        <v>196</v>
      </c>
      <c r="M91" s="190" t="s">
        <v>427</v>
      </c>
      <c r="N91" s="197" t="s">
        <v>439</v>
      </c>
      <c r="O91" s="197" t="s">
        <v>572</v>
      </c>
      <c r="P91" s="201" t="s">
        <v>435</v>
      </c>
      <c r="Q91" s="206"/>
    </row>
    <row r="92" spans="1:17" s="18" customFormat="1" ht="18.75" customHeight="1" x14ac:dyDescent="0.2">
      <c r="A92" s="44">
        <v>20005</v>
      </c>
      <c r="B92" s="44">
        <v>2347606632</v>
      </c>
      <c r="C92" s="19" t="s">
        <v>197</v>
      </c>
      <c r="D92" s="37" t="s">
        <v>198</v>
      </c>
      <c r="E92" s="19" t="s">
        <v>543</v>
      </c>
      <c r="F92" s="21">
        <v>26375</v>
      </c>
      <c r="G92" s="22">
        <v>1972</v>
      </c>
      <c r="H92" s="15" t="e">
        <f>(#REF!-G92)</f>
        <v>#REF!</v>
      </c>
      <c r="I92" s="14">
        <v>39510</v>
      </c>
      <c r="J92" s="50" t="s">
        <v>252</v>
      </c>
      <c r="K92" s="58">
        <v>641157151</v>
      </c>
      <c r="L92" s="26" t="s">
        <v>199</v>
      </c>
      <c r="M92" s="190" t="s">
        <v>427</v>
      </c>
      <c r="N92" s="197" t="s">
        <v>439</v>
      </c>
      <c r="O92" s="197" t="s">
        <v>566</v>
      </c>
      <c r="P92" s="201" t="s">
        <v>435</v>
      </c>
      <c r="Q92" s="206"/>
    </row>
    <row r="93" spans="1:17" s="18" customFormat="1" ht="18.75" customHeight="1" x14ac:dyDescent="0.2">
      <c r="A93" s="44">
        <v>20011</v>
      </c>
      <c r="B93" s="44">
        <v>1650378562</v>
      </c>
      <c r="C93" s="19" t="s">
        <v>416</v>
      </c>
      <c r="D93" s="37" t="s">
        <v>200</v>
      </c>
      <c r="E93" s="19" t="s">
        <v>516</v>
      </c>
      <c r="F93" s="21">
        <v>29405</v>
      </c>
      <c r="G93" s="22">
        <v>1980</v>
      </c>
      <c r="H93" s="15" t="e">
        <f>(#REF!-G93)</f>
        <v>#REF!</v>
      </c>
      <c r="I93" s="14">
        <v>39847</v>
      </c>
      <c r="J93" s="50" t="s">
        <v>270</v>
      </c>
      <c r="K93" s="56">
        <v>636608015</v>
      </c>
      <c r="L93" s="26" t="s">
        <v>201</v>
      </c>
      <c r="M93" s="190" t="s">
        <v>427</v>
      </c>
      <c r="N93" s="197" t="s">
        <v>439</v>
      </c>
      <c r="O93" s="197" t="s">
        <v>566</v>
      </c>
      <c r="P93" s="201" t="s">
        <v>428</v>
      </c>
      <c r="Q93" s="206"/>
    </row>
    <row r="94" spans="1:17" s="18" customFormat="1" ht="18.75" customHeight="1" x14ac:dyDescent="0.2">
      <c r="A94" s="44">
        <v>20013</v>
      </c>
      <c r="B94" s="44">
        <v>2347625857</v>
      </c>
      <c r="C94" s="19" t="s">
        <v>202</v>
      </c>
      <c r="D94" s="29" t="s">
        <v>203</v>
      </c>
      <c r="E94" s="19" t="s">
        <v>450</v>
      </c>
      <c r="F94" s="24">
        <v>23842</v>
      </c>
      <c r="G94" s="23">
        <v>1965</v>
      </c>
      <c r="H94" s="15" t="e">
        <f>(#REF!-G94)</f>
        <v>#REF!</v>
      </c>
      <c r="I94" s="14">
        <v>40385</v>
      </c>
      <c r="J94" s="50" t="s">
        <v>271</v>
      </c>
      <c r="K94" s="59">
        <v>609938769</v>
      </c>
      <c r="L94" s="46" t="s">
        <v>204</v>
      </c>
      <c r="M94" s="190" t="s">
        <v>427</v>
      </c>
      <c r="N94" s="197" t="s">
        <v>439</v>
      </c>
      <c r="O94" s="197" t="s">
        <v>566</v>
      </c>
      <c r="P94" s="201" t="s">
        <v>428</v>
      </c>
      <c r="Q94" s="206"/>
    </row>
    <row r="95" spans="1:17" s="18" customFormat="1" ht="18.75" customHeight="1" x14ac:dyDescent="0.2">
      <c r="A95" s="44">
        <v>20015</v>
      </c>
      <c r="B95" s="44">
        <v>2347678905</v>
      </c>
      <c r="C95" s="19" t="s">
        <v>205</v>
      </c>
      <c r="D95" s="38" t="s">
        <v>206</v>
      </c>
      <c r="E95" s="19" t="s">
        <v>517</v>
      </c>
      <c r="F95" s="39">
        <v>31555</v>
      </c>
      <c r="G95" s="40">
        <v>1986</v>
      </c>
      <c r="H95" s="15" t="e">
        <f>(#REF!-G95)</f>
        <v>#REF!</v>
      </c>
      <c r="I95" s="14">
        <v>39755</v>
      </c>
      <c r="J95" s="50" t="s">
        <v>227</v>
      </c>
      <c r="K95" s="56">
        <v>696282165</v>
      </c>
      <c r="L95" s="26" t="s">
        <v>207</v>
      </c>
      <c r="M95" s="190" t="s">
        <v>427</v>
      </c>
      <c r="N95" s="197" t="s">
        <v>439</v>
      </c>
      <c r="O95" s="197" t="s">
        <v>572</v>
      </c>
      <c r="P95" s="201" t="s">
        <v>435</v>
      </c>
      <c r="Q95" s="206"/>
    </row>
    <row r="96" spans="1:17" s="18" customFormat="1" ht="18.75" customHeight="1" x14ac:dyDescent="0.2">
      <c r="A96" s="44">
        <v>20016</v>
      </c>
      <c r="B96" s="44">
        <v>2347665344</v>
      </c>
      <c r="C96" s="19" t="s">
        <v>208</v>
      </c>
      <c r="D96" s="29" t="s">
        <v>209</v>
      </c>
      <c r="E96" s="19" t="s">
        <v>452</v>
      </c>
      <c r="F96" s="24">
        <v>24417</v>
      </c>
      <c r="G96" s="23">
        <v>1966</v>
      </c>
      <c r="H96" s="15" t="e">
        <f>(#REF!-G96)</f>
        <v>#REF!</v>
      </c>
      <c r="I96" s="14">
        <v>40087</v>
      </c>
      <c r="J96" s="50" t="s">
        <v>272</v>
      </c>
      <c r="K96" s="54" t="s">
        <v>276</v>
      </c>
      <c r="L96" s="82" t="s">
        <v>341</v>
      </c>
      <c r="M96" s="190" t="s">
        <v>427</v>
      </c>
      <c r="N96" s="197" t="s">
        <v>439</v>
      </c>
      <c r="O96" s="197" t="s">
        <v>566</v>
      </c>
      <c r="P96" s="201" t="s">
        <v>428</v>
      </c>
      <c r="Q96" s="206"/>
    </row>
    <row r="97" spans="1:17" s="18" customFormat="1" ht="18.75" customHeight="1" x14ac:dyDescent="0.2">
      <c r="A97" s="44">
        <v>20017</v>
      </c>
      <c r="B97" s="44">
        <v>2347639330</v>
      </c>
      <c r="C97" s="19" t="s">
        <v>210</v>
      </c>
      <c r="D97" s="29" t="s">
        <v>211</v>
      </c>
      <c r="E97" s="19" t="s">
        <v>518</v>
      </c>
      <c r="F97" s="24">
        <v>29769</v>
      </c>
      <c r="G97" s="23">
        <v>1981</v>
      </c>
      <c r="H97" s="15" t="e">
        <f>(#REF!-G97)</f>
        <v>#REF!</v>
      </c>
      <c r="I97" s="14">
        <v>41834</v>
      </c>
      <c r="J97" s="50" t="s">
        <v>273</v>
      </c>
      <c r="K97" s="60">
        <v>682714026</v>
      </c>
      <c r="L97" s="26" t="s">
        <v>212</v>
      </c>
      <c r="M97" s="190" t="s">
        <v>427</v>
      </c>
      <c r="N97" s="197" t="s">
        <v>439</v>
      </c>
      <c r="O97" s="197" t="s">
        <v>566</v>
      </c>
      <c r="P97" s="201" t="s">
        <v>435</v>
      </c>
      <c r="Q97" s="206" t="s">
        <v>437</v>
      </c>
    </row>
    <row r="98" spans="1:17" s="18" customFormat="1" ht="18.75" customHeight="1" x14ac:dyDescent="0.2">
      <c r="A98" s="44">
        <v>20018</v>
      </c>
      <c r="B98" s="44">
        <v>2347584452</v>
      </c>
      <c r="C98" s="19" t="s">
        <v>213</v>
      </c>
      <c r="D98" s="29" t="s">
        <v>214</v>
      </c>
      <c r="E98" s="19" t="s">
        <v>519</v>
      </c>
      <c r="F98" s="24">
        <v>30017</v>
      </c>
      <c r="G98" s="23">
        <v>1982</v>
      </c>
      <c r="H98" s="15" t="e">
        <f>(#REF!-G98)</f>
        <v>#REF!</v>
      </c>
      <c r="I98" s="14">
        <v>41834</v>
      </c>
      <c r="J98" s="50" t="s">
        <v>274</v>
      </c>
      <c r="K98" s="60">
        <v>619245814</v>
      </c>
      <c r="L98" s="26" t="s">
        <v>215</v>
      </c>
      <c r="M98" s="190" t="s">
        <v>427</v>
      </c>
      <c r="N98" s="197" t="s">
        <v>439</v>
      </c>
      <c r="O98" s="197" t="s">
        <v>566</v>
      </c>
      <c r="P98" s="201" t="s">
        <v>435</v>
      </c>
      <c r="Q98" s="206" t="s">
        <v>437</v>
      </c>
    </row>
    <row r="99" spans="1:17" s="18" customFormat="1" ht="18.75" customHeight="1" x14ac:dyDescent="0.2">
      <c r="A99" s="44">
        <v>20020</v>
      </c>
      <c r="B99" s="44">
        <v>2333199224</v>
      </c>
      <c r="C99" s="19" t="s">
        <v>219</v>
      </c>
      <c r="D99" s="29" t="s">
        <v>221</v>
      </c>
      <c r="E99" s="19" t="s">
        <v>520</v>
      </c>
      <c r="F99" s="24">
        <v>33487</v>
      </c>
      <c r="G99" s="23">
        <v>1991</v>
      </c>
      <c r="H99" s="15" t="e">
        <f>(#REF!-G99)</f>
        <v>#REF!</v>
      </c>
      <c r="I99" s="14">
        <v>42156</v>
      </c>
      <c r="J99" s="50" t="s">
        <v>275</v>
      </c>
      <c r="K99" s="54" t="s">
        <v>277</v>
      </c>
      <c r="L99" s="46" t="s">
        <v>220</v>
      </c>
      <c r="M99" s="190" t="s">
        <v>427</v>
      </c>
      <c r="N99" s="197" t="s">
        <v>439</v>
      </c>
      <c r="O99" s="197" t="s">
        <v>566</v>
      </c>
      <c r="P99" s="201" t="s">
        <v>435</v>
      </c>
      <c r="Q99" s="206"/>
    </row>
    <row r="100" spans="1:17" s="18" customFormat="1" ht="18.75" customHeight="1" x14ac:dyDescent="0.2">
      <c r="A100" s="44">
        <v>20403</v>
      </c>
      <c r="B100" s="44">
        <v>1650884946</v>
      </c>
      <c r="C100" s="19" t="s">
        <v>56</v>
      </c>
      <c r="D100" s="29" t="s">
        <v>57</v>
      </c>
      <c r="E100" s="19" t="s">
        <v>490</v>
      </c>
      <c r="F100" s="24">
        <v>32046</v>
      </c>
      <c r="G100" s="23">
        <v>1987</v>
      </c>
      <c r="H100" s="15">
        <f>($H$1-G100)</f>
        <v>39</v>
      </c>
      <c r="I100" s="14">
        <v>40704</v>
      </c>
      <c r="J100" s="53" t="s">
        <v>292</v>
      </c>
      <c r="K100" s="63">
        <v>670782847</v>
      </c>
      <c r="L100" s="46" t="s">
        <v>224</v>
      </c>
      <c r="M100" s="190" t="s">
        <v>427</v>
      </c>
      <c r="N100" s="197" t="s">
        <v>439</v>
      </c>
      <c r="O100" s="197" t="s">
        <v>572</v>
      </c>
      <c r="P100" s="201" t="s">
        <v>435</v>
      </c>
      <c r="Q100" s="206"/>
    </row>
    <row r="101" spans="1:17" s="103" customFormat="1" ht="18.75" customHeight="1" x14ac:dyDescent="0.2">
      <c r="A101" s="61"/>
      <c r="B101" s="61"/>
      <c r="C101" s="71" t="s">
        <v>304</v>
      </c>
      <c r="D101" s="112" t="s">
        <v>305</v>
      </c>
      <c r="E101" s="71" t="s">
        <v>475</v>
      </c>
      <c r="F101" s="92">
        <v>26011</v>
      </c>
      <c r="G101" s="93">
        <v>1971</v>
      </c>
      <c r="H101" s="102" t="e">
        <f>(#REF!-G101)</f>
        <v>#REF!</v>
      </c>
      <c r="I101" s="99">
        <v>44482</v>
      </c>
      <c r="J101" s="94" t="s">
        <v>306</v>
      </c>
      <c r="K101" s="100">
        <v>650487062</v>
      </c>
      <c r="L101" s="101" t="s">
        <v>313</v>
      </c>
      <c r="M101" s="190" t="s">
        <v>427</v>
      </c>
      <c r="N101" s="197" t="s">
        <v>439</v>
      </c>
      <c r="O101" s="197" t="s">
        <v>566</v>
      </c>
      <c r="P101" s="201" t="s">
        <v>436</v>
      </c>
      <c r="Q101" s="210"/>
    </row>
    <row r="102" spans="1:17" ht="18.75" customHeight="1" x14ac:dyDescent="0.2">
      <c r="A102" s="44"/>
      <c r="B102" s="44"/>
      <c r="C102" s="202" t="s">
        <v>327</v>
      </c>
      <c r="D102" s="20" t="s">
        <v>330</v>
      </c>
      <c r="E102" s="202" t="s">
        <v>490</v>
      </c>
      <c r="F102" s="24">
        <v>34278</v>
      </c>
      <c r="G102" s="23">
        <v>1993</v>
      </c>
      <c r="H102" s="85" t="e">
        <f>(#REF!-G102)</f>
        <v>#REF!</v>
      </c>
      <c r="I102" s="67">
        <v>43661</v>
      </c>
      <c r="J102" s="53" t="s">
        <v>332</v>
      </c>
      <c r="K102" s="54">
        <v>671867943</v>
      </c>
      <c r="L102" s="46" t="s">
        <v>329</v>
      </c>
      <c r="M102" s="190" t="s">
        <v>427</v>
      </c>
      <c r="N102" s="197" t="s">
        <v>439</v>
      </c>
      <c r="O102" s="197" t="s">
        <v>566</v>
      </c>
      <c r="P102" s="201" t="s">
        <v>436</v>
      </c>
    </row>
    <row r="103" spans="1:17" ht="18.75" customHeight="1" x14ac:dyDescent="0.25">
      <c r="A103" s="44">
        <v>20276</v>
      </c>
      <c r="B103" s="44">
        <v>1650176178</v>
      </c>
      <c r="C103" s="47" t="s">
        <v>328</v>
      </c>
      <c r="D103" s="83" t="s">
        <v>331</v>
      </c>
      <c r="E103" s="47" t="s">
        <v>521</v>
      </c>
      <c r="F103" s="24">
        <v>32343</v>
      </c>
      <c r="G103" s="23">
        <v>1988</v>
      </c>
      <c r="H103" s="85" t="e">
        <f>(#REF!-G103)</f>
        <v>#REF!</v>
      </c>
      <c r="I103" s="67">
        <v>44713</v>
      </c>
      <c r="J103" s="53" t="s">
        <v>311</v>
      </c>
      <c r="K103" s="58">
        <v>651319657</v>
      </c>
      <c r="L103" s="81" t="s">
        <v>310</v>
      </c>
      <c r="M103" s="190" t="s">
        <v>427</v>
      </c>
      <c r="N103" s="197" t="s">
        <v>439</v>
      </c>
      <c r="O103" s="197" t="s">
        <v>566</v>
      </c>
      <c r="P103" s="201" t="s">
        <v>435</v>
      </c>
    </row>
    <row r="104" spans="1:17" ht="18.75" customHeight="1" x14ac:dyDescent="0.2">
      <c r="A104" s="44">
        <v>20304</v>
      </c>
      <c r="B104" s="44">
        <v>1650369154</v>
      </c>
      <c r="C104" s="47" t="s">
        <v>545</v>
      </c>
      <c r="D104" s="20" t="s">
        <v>316</v>
      </c>
      <c r="E104" s="47" t="s">
        <v>544</v>
      </c>
      <c r="F104" s="24">
        <v>33729</v>
      </c>
      <c r="G104" s="23">
        <v>1992</v>
      </c>
      <c r="H104" s="85" t="e">
        <f>(#REF!-G104)</f>
        <v>#REF!</v>
      </c>
      <c r="I104" s="67">
        <v>44837</v>
      </c>
      <c r="J104" s="53" t="s">
        <v>314</v>
      </c>
      <c r="K104" s="54">
        <v>695145572</v>
      </c>
      <c r="L104" s="46" t="s">
        <v>315</v>
      </c>
      <c r="M104" s="190" t="s">
        <v>427</v>
      </c>
      <c r="N104" s="197" t="s">
        <v>439</v>
      </c>
      <c r="O104" s="197" t="s">
        <v>566</v>
      </c>
      <c r="P104" s="201" t="s">
        <v>428</v>
      </c>
    </row>
    <row r="105" spans="1:17" ht="18.75" customHeight="1" x14ac:dyDescent="0.25">
      <c r="A105" s="44">
        <v>20356</v>
      </c>
      <c r="B105" s="44">
        <v>2333151711</v>
      </c>
      <c r="C105" s="109" t="s">
        <v>442</v>
      </c>
      <c r="D105" s="25" t="s">
        <v>392</v>
      </c>
      <c r="E105" s="109" t="s">
        <v>488</v>
      </c>
      <c r="F105" s="98">
        <v>30767</v>
      </c>
      <c r="G105" s="23">
        <v>1984</v>
      </c>
      <c r="H105" s="85" t="e">
        <f>(#REF!-G105)</f>
        <v>#REF!</v>
      </c>
      <c r="I105" s="67">
        <v>45145</v>
      </c>
      <c r="J105" s="109" t="s">
        <v>317</v>
      </c>
      <c r="K105" s="56">
        <v>696183903</v>
      </c>
      <c r="L105" s="81" t="s">
        <v>391</v>
      </c>
      <c r="M105" s="190" t="s">
        <v>427</v>
      </c>
      <c r="N105" s="197" t="s">
        <v>439</v>
      </c>
      <c r="O105" s="197" t="s">
        <v>566</v>
      </c>
      <c r="P105" s="201" t="s">
        <v>428</v>
      </c>
    </row>
    <row r="106" spans="1:17" ht="18.75" customHeight="1" x14ac:dyDescent="0.25">
      <c r="A106" s="44">
        <v>20397</v>
      </c>
      <c r="B106" s="44">
        <v>2347620026</v>
      </c>
      <c r="C106" s="109" t="s">
        <v>443</v>
      </c>
      <c r="D106" s="25" t="s">
        <v>417</v>
      </c>
      <c r="E106" s="109" t="s">
        <v>522</v>
      </c>
      <c r="F106" s="98"/>
      <c r="G106" s="23"/>
      <c r="H106" s="85"/>
      <c r="I106" s="67">
        <v>45510</v>
      </c>
      <c r="J106" s="109"/>
      <c r="K106" s="54"/>
      <c r="L106" s="81"/>
      <c r="M106" s="190" t="s">
        <v>427</v>
      </c>
      <c r="N106" s="197" t="s">
        <v>439</v>
      </c>
      <c r="O106" s="197" t="s">
        <v>566</v>
      </c>
      <c r="P106" s="201" t="s">
        <v>435</v>
      </c>
    </row>
    <row r="107" spans="1:17" ht="18.75" customHeight="1" x14ac:dyDescent="0.25">
      <c r="A107" s="44">
        <v>20409</v>
      </c>
      <c r="B107" s="44">
        <v>2333159655</v>
      </c>
      <c r="C107" s="109" t="s">
        <v>444</v>
      </c>
      <c r="D107" s="25" t="s">
        <v>418</v>
      </c>
      <c r="E107" s="109" t="s">
        <v>523</v>
      </c>
      <c r="F107" s="98"/>
      <c r="G107" s="23"/>
      <c r="H107" s="85"/>
      <c r="I107" s="67">
        <v>45813</v>
      </c>
      <c r="J107" s="109"/>
      <c r="K107" s="54"/>
      <c r="L107" s="81"/>
      <c r="M107" s="190" t="s">
        <v>427</v>
      </c>
      <c r="N107" s="197" t="s">
        <v>439</v>
      </c>
      <c r="O107" s="197" t="s">
        <v>566</v>
      </c>
      <c r="P107" s="201" t="s">
        <v>435</v>
      </c>
    </row>
    <row r="108" spans="1:17" ht="18.75" customHeight="1" x14ac:dyDescent="0.25">
      <c r="A108" s="44">
        <v>20433</v>
      </c>
      <c r="B108" s="44">
        <v>2333091602</v>
      </c>
      <c r="C108" s="109" t="s">
        <v>445</v>
      </c>
      <c r="D108" s="25" t="s">
        <v>419</v>
      </c>
      <c r="E108" s="109" t="s">
        <v>524</v>
      </c>
      <c r="F108" s="98"/>
      <c r="G108" s="23"/>
      <c r="H108" s="85"/>
      <c r="I108" s="67">
        <v>45902</v>
      </c>
      <c r="J108" s="109"/>
      <c r="K108" s="54"/>
      <c r="L108" s="81"/>
      <c r="M108" s="190" t="s">
        <v>427</v>
      </c>
      <c r="N108" s="197" t="s">
        <v>439</v>
      </c>
      <c r="O108" s="197" t="s">
        <v>566</v>
      </c>
      <c r="P108" s="201" t="s">
        <v>428</v>
      </c>
    </row>
    <row r="109" spans="1:17" ht="18.75" customHeight="1" x14ac:dyDescent="0.25">
      <c r="A109" s="44">
        <v>20446</v>
      </c>
      <c r="B109" s="44">
        <v>1650172914</v>
      </c>
      <c r="C109" s="109" t="s">
        <v>446</v>
      </c>
      <c r="D109" s="25" t="s">
        <v>420</v>
      </c>
      <c r="E109" s="109" t="s">
        <v>525</v>
      </c>
      <c r="F109" s="98"/>
      <c r="G109" s="23"/>
      <c r="H109" s="85"/>
      <c r="I109" s="67">
        <v>45982</v>
      </c>
      <c r="J109" s="109"/>
      <c r="K109" s="54"/>
      <c r="L109" s="81"/>
      <c r="M109" s="190" t="s">
        <v>427</v>
      </c>
      <c r="N109" s="197" t="s">
        <v>439</v>
      </c>
      <c r="O109" s="197" t="s">
        <v>566</v>
      </c>
      <c r="P109" s="201" t="s">
        <v>428</v>
      </c>
    </row>
    <row r="110" spans="1:17" ht="18.75" customHeight="1" x14ac:dyDescent="0.25">
      <c r="A110" s="44">
        <v>20448</v>
      </c>
      <c r="B110" s="44">
        <v>1651203970</v>
      </c>
      <c r="C110" s="117" t="s">
        <v>447</v>
      </c>
      <c r="D110" s="117" t="s">
        <v>421</v>
      </c>
      <c r="E110" s="117" t="s">
        <v>546</v>
      </c>
      <c r="F110" s="98"/>
      <c r="G110" s="23"/>
      <c r="H110" s="85"/>
      <c r="I110" s="67">
        <v>46041</v>
      </c>
      <c r="J110" s="109" t="s">
        <v>422</v>
      </c>
      <c r="K110" s="54"/>
      <c r="L110" s="81"/>
      <c r="M110" s="190" t="s">
        <v>427</v>
      </c>
      <c r="N110" s="197" t="s">
        <v>439</v>
      </c>
      <c r="O110" s="197" t="s">
        <v>566</v>
      </c>
      <c r="P110" s="201" t="s">
        <v>435</v>
      </c>
    </row>
    <row r="111" spans="1:17" ht="15.75" x14ac:dyDescent="0.25">
      <c r="G111" s="30"/>
      <c r="H111" s="30"/>
    </row>
    <row r="112" spans="1:17" ht="15.75" x14ac:dyDescent="0.25">
      <c r="G112" s="30"/>
      <c r="H112" s="30"/>
    </row>
    <row r="113" spans="7:8" ht="15.75" x14ac:dyDescent="0.25">
      <c r="G113" s="30"/>
      <c r="H113" s="30"/>
    </row>
    <row r="114" spans="7:8" ht="15.75" x14ac:dyDescent="0.25">
      <c r="G114" s="30"/>
      <c r="H114" s="30"/>
    </row>
    <row r="115" spans="7:8" ht="15.75" x14ac:dyDescent="0.25">
      <c r="G115" s="30"/>
      <c r="H115" s="30"/>
    </row>
    <row r="116" spans="7:8" ht="15.75" x14ac:dyDescent="0.25">
      <c r="G116" s="30"/>
      <c r="H116" s="30"/>
    </row>
    <row r="117" spans="7:8" ht="15.75" x14ac:dyDescent="0.25">
      <c r="G117" s="30"/>
      <c r="H117" s="30"/>
    </row>
    <row r="118" spans="7:8" ht="15.75" x14ac:dyDescent="0.25">
      <c r="G118" s="30"/>
      <c r="H118" s="30"/>
    </row>
    <row r="119" spans="7:8" ht="15.75" x14ac:dyDescent="0.25">
      <c r="G119" s="30"/>
      <c r="H119" s="30"/>
    </row>
    <row r="120" spans="7:8" ht="15.75" x14ac:dyDescent="0.25">
      <c r="G120" s="30"/>
      <c r="H120" s="30"/>
    </row>
    <row r="121" spans="7:8" ht="15.75" x14ac:dyDescent="0.25">
      <c r="G121" s="30"/>
      <c r="H121" s="30"/>
    </row>
    <row r="122" spans="7:8" ht="15.75" x14ac:dyDescent="0.25">
      <c r="G122" s="30"/>
      <c r="H122" s="30"/>
    </row>
    <row r="123" spans="7:8" ht="15.75" x14ac:dyDescent="0.25">
      <c r="G123" s="30"/>
      <c r="H123" s="30"/>
    </row>
    <row r="124" spans="7:8" ht="15.75" x14ac:dyDescent="0.25">
      <c r="G124" s="30"/>
      <c r="H124" s="30"/>
    </row>
    <row r="125" spans="7:8" ht="15.75" x14ac:dyDescent="0.25">
      <c r="G125" s="30"/>
      <c r="H125" s="30"/>
    </row>
    <row r="126" spans="7:8" ht="15.75" x14ac:dyDescent="0.25">
      <c r="G126" s="30"/>
      <c r="H126" s="30"/>
    </row>
    <row r="127" spans="7:8" ht="15.75" x14ac:dyDescent="0.25">
      <c r="G127" s="30"/>
      <c r="H127" s="30"/>
    </row>
    <row r="128" spans="7:8" ht="15.75" x14ac:dyDescent="0.25">
      <c r="G128" s="30"/>
      <c r="H128" s="30"/>
    </row>
    <row r="129" spans="7:8" ht="15.75" x14ac:dyDescent="0.25">
      <c r="G129" s="30"/>
      <c r="H129" s="30"/>
    </row>
    <row r="130" spans="7:8" ht="15.75" x14ac:dyDescent="0.25">
      <c r="G130" s="30"/>
      <c r="H130" s="30"/>
    </row>
    <row r="131" spans="7:8" ht="15.75" x14ac:dyDescent="0.25">
      <c r="G131" s="30"/>
      <c r="H131" s="30"/>
    </row>
    <row r="132" spans="7:8" ht="15.75" x14ac:dyDescent="0.25">
      <c r="G132" s="30"/>
      <c r="H132" s="30"/>
    </row>
    <row r="133" spans="7:8" ht="15.75" x14ac:dyDescent="0.25">
      <c r="G133" s="30"/>
      <c r="H133" s="30"/>
    </row>
    <row r="134" spans="7:8" ht="15.75" x14ac:dyDescent="0.25">
      <c r="G134" s="30"/>
      <c r="H134" s="30"/>
    </row>
    <row r="135" spans="7:8" ht="15.75" x14ac:dyDescent="0.25">
      <c r="G135" s="30"/>
      <c r="H135" s="30"/>
    </row>
    <row r="136" spans="7:8" ht="15.75" x14ac:dyDescent="0.25">
      <c r="G136" s="30"/>
      <c r="H136" s="30"/>
    </row>
    <row r="137" spans="7:8" ht="15.75" x14ac:dyDescent="0.25">
      <c r="G137" s="30"/>
      <c r="H137" s="30"/>
    </row>
    <row r="138" spans="7:8" ht="15.75" x14ac:dyDescent="0.25">
      <c r="G138" s="30"/>
      <c r="H138" s="30"/>
    </row>
    <row r="139" spans="7:8" ht="15.75" x14ac:dyDescent="0.25">
      <c r="G139" s="30"/>
      <c r="H139" s="30"/>
    </row>
    <row r="140" spans="7:8" ht="15.75" x14ac:dyDescent="0.25">
      <c r="G140" s="30"/>
      <c r="H140" s="30"/>
    </row>
    <row r="141" spans="7:8" ht="15.75" x14ac:dyDescent="0.25">
      <c r="G141" s="30"/>
      <c r="H141" s="30"/>
    </row>
    <row r="142" spans="7:8" ht="15.75" x14ac:dyDescent="0.25">
      <c r="G142" s="30"/>
      <c r="H142" s="30"/>
    </row>
    <row r="143" spans="7:8" ht="15.75" x14ac:dyDescent="0.25">
      <c r="G143" s="30"/>
      <c r="H143" s="30"/>
    </row>
    <row r="144" spans="7:8" ht="15.75" x14ac:dyDescent="0.25">
      <c r="G144" s="30"/>
      <c r="H144" s="30"/>
    </row>
    <row r="145" spans="7:8" ht="15.75" x14ac:dyDescent="0.25">
      <c r="G145" s="30"/>
      <c r="H145" s="30"/>
    </row>
    <row r="146" spans="7:8" ht="15.75" x14ac:dyDescent="0.25">
      <c r="G146" s="30"/>
      <c r="H146" s="30"/>
    </row>
    <row r="147" spans="7:8" ht="15.75" x14ac:dyDescent="0.25">
      <c r="G147" s="30"/>
      <c r="H147" s="30"/>
    </row>
    <row r="148" spans="7:8" ht="15.75" x14ac:dyDescent="0.25">
      <c r="G148" s="30"/>
      <c r="H148" s="30"/>
    </row>
    <row r="149" spans="7:8" ht="15.75" x14ac:dyDescent="0.25">
      <c r="G149" s="30"/>
      <c r="H149" s="30"/>
    </row>
    <row r="150" spans="7:8" ht="15.75" x14ac:dyDescent="0.25">
      <c r="G150" s="30"/>
      <c r="H150" s="30"/>
    </row>
    <row r="151" spans="7:8" ht="15.75" x14ac:dyDescent="0.25">
      <c r="G151" s="30"/>
      <c r="H151" s="30"/>
    </row>
    <row r="152" spans="7:8" ht="15.75" x14ac:dyDescent="0.25">
      <c r="G152" s="30"/>
      <c r="H152" s="30"/>
    </row>
    <row r="153" spans="7:8" ht="15.75" x14ac:dyDescent="0.25">
      <c r="G153" s="30"/>
      <c r="H153" s="30"/>
    </row>
    <row r="154" spans="7:8" ht="15.75" x14ac:dyDescent="0.25">
      <c r="G154" s="30"/>
      <c r="H154" s="30"/>
    </row>
    <row r="155" spans="7:8" ht="15.75" x14ac:dyDescent="0.25">
      <c r="G155" s="30"/>
      <c r="H155" s="30"/>
    </row>
    <row r="156" spans="7:8" ht="15.75" x14ac:dyDescent="0.25">
      <c r="G156" s="30"/>
      <c r="H156" s="30"/>
    </row>
    <row r="157" spans="7:8" ht="15.75" x14ac:dyDescent="0.25">
      <c r="G157" s="30"/>
      <c r="H157" s="30"/>
    </row>
    <row r="158" spans="7:8" ht="15.75" x14ac:dyDescent="0.25">
      <c r="G158" s="30"/>
      <c r="H158" s="30"/>
    </row>
    <row r="159" spans="7:8" ht="15.75" x14ac:dyDescent="0.25">
      <c r="G159" s="30"/>
      <c r="H159" s="30"/>
    </row>
    <row r="160" spans="7:8" ht="15.75" x14ac:dyDescent="0.25">
      <c r="G160" s="30"/>
      <c r="H160" s="30"/>
    </row>
    <row r="161" spans="7:8" ht="15.75" x14ac:dyDescent="0.25">
      <c r="G161" s="30"/>
      <c r="H161" s="30"/>
    </row>
    <row r="162" spans="7:8" ht="15.75" x14ac:dyDescent="0.25">
      <c r="G162" s="30"/>
      <c r="H162" s="30"/>
    </row>
    <row r="163" spans="7:8" ht="15.75" x14ac:dyDescent="0.25">
      <c r="G163" s="30"/>
      <c r="H163" s="30"/>
    </row>
    <row r="164" spans="7:8" ht="15.75" x14ac:dyDescent="0.25">
      <c r="G164" s="30"/>
      <c r="H164" s="30"/>
    </row>
    <row r="165" spans="7:8" ht="15.75" x14ac:dyDescent="0.25">
      <c r="G165" s="30"/>
      <c r="H165" s="30"/>
    </row>
    <row r="166" spans="7:8" ht="15.75" x14ac:dyDescent="0.25">
      <c r="G166" s="30"/>
      <c r="H166" s="30"/>
    </row>
    <row r="167" spans="7:8" ht="15.75" x14ac:dyDescent="0.25">
      <c r="G167" s="30"/>
      <c r="H167" s="30"/>
    </row>
    <row r="168" spans="7:8" ht="15.75" x14ac:dyDescent="0.25">
      <c r="G168" s="30"/>
      <c r="H168" s="30"/>
    </row>
    <row r="169" spans="7:8" ht="15.75" x14ac:dyDescent="0.25">
      <c r="G169" s="30"/>
      <c r="H169" s="30"/>
    </row>
    <row r="170" spans="7:8" ht="15.75" x14ac:dyDescent="0.25">
      <c r="G170" s="30"/>
      <c r="H170" s="30"/>
    </row>
    <row r="171" spans="7:8" ht="15.75" x14ac:dyDescent="0.25">
      <c r="G171" s="30"/>
      <c r="H171" s="30"/>
    </row>
    <row r="172" spans="7:8" ht="15.75" x14ac:dyDescent="0.25">
      <c r="G172" s="30"/>
      <c r="H172" s="30"/>
    </row>
    <row r="173" spans="7:8" ht="15.75" x14ac:dyDescent="0.25">
      <c r="G173" s="30"/>
      <c r="H173" s="30"/>
    </row>
    <row r="174" spans="7:8" ht="15.75" x14ac:dyDescent="0.25">
      <c r="G174" s="30"/>
      <c r="H174" s="30"/>
    </row>
    <row r="175" spans="7:8" ht="15.75" x14ac:dyDescent="0.25">
      <c r="G175" s="30"/>
      <c r="H175" s="30"/>
    </row>
    <row r="176" spans="7:8" ht="15.75" x14ac:dyDescent="0.25">
      <c r="G176" s="30"/>
      <c r="H176" s="30"/>
    </row>
    <row r="177" spans="7:8" ht="15.75" x14ac:dyDescent="0.25">
      <c r="G177" s="30"/>
      <c r="H177" s="30"/>
    </row>
    <row r="178" spans="7:8" ht="15.75" x14ac:dyDescent="0.25">
      <c r="G178" s="30"/>
      <c r="H178" s="30"/>
    </row>
    <row r="179" spans="7:8" ht="15.75" x14ac:dyDescent="0.25">
      <c r="G179" s="30"/>
      <c r="H179" s="30"/>
    </row>
    <row r="180" spans="7:8" ht="15.75" x14ac:dyDescent="0.25">
      <c r="G180" s="30"/>
      <c r="H180" s="30"/>
    </row>
    <row r="181" spans="7:8" ht="15.75" x14ac:dyDescent="0.25">
      <c r="G181" s="30"/>
      <c r="H181" s="30"/>
    </row>
    <row r="182" spans="7:8" ht="15.75" x14ac:dyDescent="0.25">
      <c r="G182" s="30"/>
      <c r="H182" s="30"/>
    </row>
    <row r="183" spans="7:8" ht="15.75" x14ac:dyDescent="0.25">
      <c r="G183" s="30"/>
      <c r="H183" s="30"/>
    </row>
    <row r="184" spans="7:8" ht="15.75" x14ac:dyDescent="0.25">
      <c r="G184" s="30"/>
      <c r="H184" s="30"/>
    </row>
    <row r="185" spans="7:8" ht="15.75" x14ac:dyDescent="0.25">
      <c r="G185" s="30"/>
      <c r="H185" s="30"/>
    </row>
    <row r="186" spans="7:8" ht="15.75" x14ac:dyDescent="0.25">
      <c r="G186" s="30"/>
      <c r="H186" s="30"/>
    </row>
    <row r="187" spans="7:8" ht="15.75" x14ac:dyDescent="0.25">
      <c r="G187" s="30"/>
      <c r="H187" s="30"/>
    </row>
    <row r="188" spans="7:8" ht="15.75" x14ac:dyDescent="0.25">
      <c r="G188" s="30"/>
      <c r="H188" s="30"/>
    </row>
    <row r="189" spans="7:8" ht="15.75" x14ac:dyDescent="0.25">
      <c r="G189" s="30"/>
      <c r="H189" s="30"/>
    </row>
    <row r="190" spans="7:8" ht="15.75" x14ac:dyDescent="0.25">
      <c r="G190" s="30"/>
      <c r="H190" s="30"/>
    </row>
    <row r="191" spans="7:8" ht="15.75" x14ac:dyDescent="0.25">
      <c r="G191" s="30"/>
      <c r="H191" s="30"/>
    </row>
    <row r="192" spans="7:8" ht="15.75" x14ac:dyDescent="0.25">
      <c r="G192" s="30"/>
      <c r="H192" s="30"/>
    </row>
    <row r="193" spans="7:8" ht="15.75" x14ac:dyDescent="0.25">
      <c r="G193" s="30"/>
      <c r="H193" s="30"/>
    </row>
    <row r="194" spans="7:8" ht="15.75" x14ac:dyDescent="0.25">
      <c r="G194" s="30"/>
      <c r="H194" s="30"/>
    </row>
    <row r="195" spans="7:8" ht="15.75" x14ac:dyDescent="0.25">
      <c r="G195" s="30"/>
      <c r="H195" s="30"/>
    </row>
    <row r="196" spans="7:8" ht="15.75" x14ac:dyDescent="0.25">
      <c r="G196" s="30"/>
      <c r="H196" s="30"/>
    </row>
    <row r="197" spans="7:8" ht="15.75" x14ac:dyDescent="0.25">
      <c r="G197" s="30"/>
      <c r="H197" s="30"/>
    </row>
    <row r="198" spans="7:8" ht="15.75" x14ac:dyDescent="0.25">
      <c r="G198" s="30"/>
      <c r="H198" s="30"/>
    </row>
    <row r="199" spans="7:8" ht="15.75" x14ac:dyDescent="0.25">
      <c r="G199" s="30"/>
      <c r="H199" s="30"/>
    </row>
    <row r="200" spans="7:8" ht="15.75" x14ac:dyDescent="0.25">
      <c r="G200" s="30"/>
      <c r="H200" s="30"/>
    </row>
    <row r="201" spans="7:8" ht="15.75" x14ac:dyDescent="0.25">
      <c r="G201" s="30"/>
      <c r="H201" s="30"/>
    </row>
    <row r="202" spans="7:8" ht="15.75" x14ac:dyDescent="0.25">
      <c r="G202" s="30"/>
      <c r="H202" s="30"/>
    </row>
    <row r="203" spans="7:8" ht="15.75" x14ac:dyDescent="0.25">
      <c r="G203" s="30"/>
      <c r="H203" s="30"/>
    </row>
    <row r="204" spans="7:8" ht="15.75" x14ac:dyDescent="0.25">
      <c r="G204" s="30"/>
      <c r="H204" s="30"/>
    </row>
    <row r="205" spans="7:8" ht="15.75" x14ac:dyDescent="0.25">
      <c r="G205" s="30"/>
      <c r="H205" s="30"/>
    </row>
    <row r="206" spans="7:8" ht="15.75" x14ac:dyDescent="0.25">
      <c r="G206" s="30"/>
      <c r="H206" s="30"/>
    </row>
    <row r="207" spans="7:8" ht="15.75" x14ac:dyDescent="0.25">
      <c r="G207" s="30"/>
      <c r="H207" s="30"/>
    </row>
    <row r="208" spans="7:8" ht="15.75" x14ac:dyDescent="0.25">
      <c r="G208" s="30"/>
      <c r="H208" s="30"/>
    </row>
    <row r="209" spans="7:8" ht="15.75" x14ac:dyDescent="0.25">
      <c r="G209" s="30"/>
      <c r="H209" s="30"/>
    </row>
    <row r="210" spans="7:8" ht="15.75" x14ac:dyDescent="0.25">
      <c r="G210" s="30"/>
      <c r="H210" s="30"/>
    </row>
    <row r="211" spans="7:8" ht="15.75" x14ac:dyDescent="0.25">
      <c r="G211" s="30"/>
      <c r="H211" s="30"/>
    </row>
    <row r="212" spans="7:8" ht="15.75" x14ac:dyDescent="0.25">
      <c r="G212" s="30"/>
      <c r="H212" s="30"/>
    </row>
    <row r="213" spans="7:8" ht="15.75" x14ac:dyDescent="0.25">
      <c r="G213" s="30"/>
      <c r="H213" s="30"/>
    </row>
    <row r="214" spans="7:8" ht="15.75" x14ac:dyDescent="0.25">
      <c r="G214" s="30"/>
      <c r="H214" s="30"/>
    </row>
    <row r="215" spans="7:8" ht="15.75" x14ac:dyDescent="0.25">
      <c r="G215" s="30"/>
      <c r="H215" s="30"/>
    </row>
    <row r="216" spans="7:8" ht="15.75" x14ac:dyDescent="0.25">
      <c r="G216" s="30"/>
      <c r="H216" s="30"/>
    </row>
    <row r="217" spans="7:8" ht="15.75" x14ac:dyDescent="0.25">
      <c r="G217" s="30"/>
      <c r="H217" s="30"/>
    </row>
    <row r="218" spans="7:8" ht="15.75" x14ac:dyDescent="0.25">
      <c r="G218" s="30"/>
      <c r="H218" s="30"/>
    </row>
    <row r="219" spans="7:8" ht="15.75" x14ac:dyDescent="0.25">
      <c r="G219" s="30"/>
      <c r="H219" s="30"/>
    </row>
    <row r="220" spans="7:8" ht="15.75" x14ac:dyDescent="0.25">
      <c r="G220" s="30"/>
      <c r="H220" s="30"/>
    </row>
    <row r="221" spans="7:8" ht="15.75" x14ac:dyDescent="0.25">
      <c r="G221" s="30"/>
      <c r="H221" s="30"/>
    </row>
    <row r="222" spans="7:8" ht="15.75" x14ac:dyDescent="0.25">
      <c r="G222" s="30"/>
      <c r="H222" s="30"/>
    </row>
    <row r="223" spans="7:8" ht="15.75" x14ac:dyDescent="0.25">
      <c r="G223" s="30"/>
      <c r="H223" s="30"/>
    </row>
    <row r="224" spans="7:8" ht="15.75" x14ac:dyDescent="0.25">
      <c r="G224" s="30"/>
      <c r="H224" s="30"/>
    </row>
    <row r="225" spans="7:8" ht="15.75" x14ac:dyDescent="0.25">
      <c r="G225" s="30"/>
      <c r="H225" s="30"/>
    </row>
    <row r="226" spans="7:8" ht="15.75" x14ac:dyDescent="0.25">
      <c r="G226" s="30"/>
      <c r="H226" s="30"/>
    </row>
    <row r="227" spans="7:8" ht="15.75" x14ac:dyDescent="0.25">
      <c r="G227" s="30"/>
      <c r="H227" s="30"/>
    </row>
    <row r="228" spans="7:8" ht="15.75" x14ac:dyDescent="0.25">
      <c r="G228" s="30"/>
      <c r="H228" s="30"/>
    </row>
    <row r="229" spans="7:8" ht="15.75" x14ac:dyDescent="0.25">
      <c r="G229" s="30"/>
      <c r="H229" s="30"/>
    </row>
    <row r="230" spans="7:8" ht="15.75" x14ac:dyDescent="0.25">
      <c r="G230" s="30"/>
      <c r="H230" s="30"/>
    </row>
    <row r="231" spans="7:8" ht="15.75" x14ac:dyDescent="0.25">
      <c r="G231" s="30"/>
      <c r="H231" s="30"/>
    </row>
    <row r="232" spans="7:8" ht="15.75" x14ac:dyDescent="0.25">
      <c r="G232" s="30"/>
      <c r="H232" s="30"/>
    </row>
    <row r="233" spans="7:8" ht="15.75" x14ac:dyDescent="0.25">
      <c r="G233" s="30"/>
      <c r="H233" s="30"/>
    </row>
    <row r="234" spans="7:8" ht="15.75" x14ac:dyDescent="0.25">
      <c r="G234" s="30"/>
      <c r="H234" s="30"/>
    </row>
    <row r="235" spans="7:8" ht="15.75" x14ac:dyDescent="0.25">
      <c r="G235" s="30"/>
      <c r="H235" s="30"/>
    </row>
    <row r="236" spans="7:8" ht="15.75" x14ac:dyDescent="0.25">
      <c r="G236" s="30"/>
      <c r="H236" s="30"/>
    </row>
    <row r="237" spans="7:8" ht="15.75" x14ac:dyDescent="0.25">
      <c r="G237" s="30"/>
      <c r="H237" s="30"/>
    </row>
    <row r="238" spans="7:8" ht="15.75" x14ac:dyDescent="0.25">
      <c r="G238" s="30"/>
      <c r="H238" s="30"/>
    </row>
    <row r="239" spans="7:8" ht="15.75" x14ac:dyDescent="0.25">
      <c r="G239" s="30"/>
      <c r="H239" s="30"/>
    </row>
    <row r="240" spans="7:8" ht="15.75" x14ac:dyDescent="0.25">
      <c r="G240" s="30"/>
      <c r="H240" s="30"/>
    </row>
    <row r="241" spans="7:8" ht="15.75" x14ac:dyDescent="0.25">
      <c r="G241" s="30"/>
      <c r="H241" s="30"/>
    </row>
    <row r="242" spans="7:8" ht="15.75" x14ac:dyDescent="0.25">
      <c r="G242" s="30"/>
      <c r="H242" s="30"/>
    </row>
    <row r="243" spans="7:8" ht="15.75" x14ac:dyDescent="0.25">
      <c r="G243" s="30"/>
      <c r="H243" s="30"/>
    </row>
    <row r="244" spans="7:8" ht="15.75" x14ac:dyDescent="0.25">
      <c r="G244" s="30"/>
      <c r="H244" s="30"/>
    </row>
    <row r="245" spans="7:8" ht="15.75" x14ac:dyDescent="0.25">
      <c r="G245" s="30"/>
      <c r="H245" s="30"/>
    </row>
    <row r="246" spans="7:8" ht="15.75" x14ac:dyDescent="0.25">
      <c r="G246" s="30"/>
      <c r="H246" s="30"/>
    </row>
    <row r="247" spans="7:8" ht="15.75" x14ac:dyDescent="0.25">
      <c r="G247" s="30"/>
      <c r="H247" s="30"/>
    </row>
    <row r="248" spans="7:8" ht="15.75" x14ac:dyDescent="0.25">
      <c r="G248" s="30"/>
      <c r="H248" s="30"/>
    </row>
    <row r="249" spans="7:8" ht="15.75" x14ac:dyDescent="0.25">
      <c r="G249" s="30"/>
      <c r="H249" s="30"/>
    </row>
    <row r="250" spans="7:8" ht="15.75" x14ac:dyDescent="0.25">
      <c r="G250" s="30"/>
      <c r="H250" s="30"/>
    </row>
    <row r="251" spans="7:8" ht="15.75" x14ac:dyDescent="0.25">
      <c r="G251" s="30"/>
      <c r="H251" s="30"/>
    </row>
    <row r="252" spans="7:8" ht="15.75" x14ac:dyDescent="0.25">
      <c r="G252" s="30"/>
      <c r="H252" s="30"/>
    </row>
    <row r="253" spans="7:8" ht="15.75" x14ac:dyDescent="0.25">
      <c r="G253" s="30"/>
      <c r="H253" s="30"/>
    </row>
    <row r="254" spans="7:8" ht="15.75" x14ac:dyDescent="0.25">
      <c r="G254" s="30"/>
      <c r="H254" s="30"/>
    </row>
    <row r="255" spans="7:8" ht="15.75" x14ac:dyDescent="0.25">
      <c r="G255" s="30"/>
      <c r="H255" s="30"/>
    </row>
    <row r="256" spans="7:8" ht="15.75" x14ac:dyDescent="0.25">
      <c r="G256" s="30"/>
      <c r="H256" s="30"/>
    </row>
    <row r="257" spans="7:8" ht="15.75" x14ac:dyDescent="0.25">
      <c r="G257" s="30"/>
      <c r="H257" s="30"/>
    </row>
    <row r="258" spans="7:8" ht="15.75" x14ac:dyDescent="0.25">
      <c r="G258" s="30"/>
      <c r="H258" s="30"/>
    </row>
    <row r="259" spans="7:8" ht="15.75" x14ac:dyDescent="0.25">
      <c r="G259" s="30"/>
      <c r="H259" s="30"/>
    </row>
    <row r="260" spans="7:8" ht="15.75" x14ac:dyDescent="0.25">
      <c r="G260" s="30"/>
      <c r="H260" s="30"/>
    </row>
    <row r="261" spans="7:8" ht="15.75" x14ac:dyDescent="0.25">
      <c r="G261" s="30"/>
      <c r="H261" s="30"/>
    </row>
    <row r="262" spans="7:8" ht="15.75" x14ac:dyDescent="0.25">
      <c r="G262" s="30"/>
      <c r="H262" s="30"/>
    </row>
    <row r="263" spans="7:8" ht="15.75" x14ac:dyDescent="0.25">
      <c r="G263" s="30"/>
      <c r="H263" s="30"/>
    </row>
    <row r="264" spans="7:8" ht="15.75" x14ac:dyDescent="0.25">
      <c r="G264" s="30"/>
      <c r="H264" s="30"/>
    </row>
    <row r="265" spans="7:8" ht="15.75" x14ac:dyDescent="0.25">
      <c r="G265" s="30"/>
      <c r="H265" s="30"/>
    </row>
    <row r="266" spans="7:8" ht="15.75" x14ac:dyDescent="0.25">
      <c r="G266" s="30"/>
      <c r="H266" s="30"/>
    </row>
    <row r="267" spans="7:8" ht="15.75" x14ac:dyDescent="0.25">
      <c r="G267" s="30"/>
      <c r="H267" s="30"/>
    </row>
    <row r="268" spans="7:8" ht="15.75" x14ac:dyDescent="0.25">
      <c r="G268" s="30"/>
      <c r="H268" s="30"/>
    </row>
    <row r="269" spans="7:8" ht="15.75" x14ac:dyDescent="0.25">
      <c r="G269" s="30"/>
      <c r="H269" s="30"/>
    </row>
    <row r="270" spans="7:8" ht="15.75" x14ac:dyDescent="0.25">
      <c r="G270" s="30"/>
      <c r="H270" s="30"/>
    </row>
    <row r="271" spans="7:8" ht="15.75" x14ac:dyDescent="0.25">
      <c r="G271" s="30"/>
      <c r="H271" s="30"/>
    </row>
    <row r="272" spans="7:8" ht="15.75" x14ac:dyDescent="0.25">
      <c r="G272" s="30"/>
      <c r="H272" s="30"/>
    </row>
    <row r="273" spans="7:8" ht="15.75" x14ac:dyDescent="0.25">
      <c r="G273" s="30"/>
      <c r="H273" s="30"/>
    </row>
    <row r="274" spans="7:8" ht="15.75" x14ac:dyDescent="0.25">
      <c r="G274" s="30"/>
      <c r="H274" s="30"/>
    </row>
    <row r="275" spans="7:8" ht="15.75" x14ac:dyDescent="0.25">
      <c r="G275" s="30"/>
      <c r="H275" s="30"/>
    </row>
    <row r="276" spans="7:8" ht="15.75" x14ac:dyDescent="0.25">
      <c r="G276" s="30"/>
      <c r="H276" s="30"/>
    </row>
    <row r="277" spans="7:8" ht="15.75" x14ac:dyDescent="0.25">
      <c r="G277" s="30"/>
      <c r="H277" s="30"/>
    </row>
    <row r="278" spans="7:8" ht="15.75" x14ac:dyDescent="0.25">
      <c r="G278" s="30"/>
      <c r="H278" s="30"/>
    </row>
    <row r="279" spans="7:8" ht="15.75" x14ac:dyDescent="0.25">
      <c r="G279" s="30"/>
      <c r="H279" s="30"/>
    </row>
    <row r="280" spans="7:8" ht="15.75" x14ac:dyDescent="0.25">
      <c r="H280" s="30"/>
    </row>
    <row r="281" spans="7:8" ht="15.75" x14ac:dyDescent="0.25">
      <c r="H281" s="30"/>
    </row>
    <row r="282" spans="7:8" ht="15.75" x14ac:dyDescent="0.25">
      <c r="H282" s="30"/>
    </row>
    <row r="283" spans="7:8" ht="15.75" x14ac:dyDescent="0.25">
      <c r="H283" s="30"/>
    </row>
    <row r="284" spans="7:8" ht="15.75" x14ac:dyDescent="0.25">
      <c r="H284" s="30"/>
    </row>
    <row r="285" spans="7:8" ht="15.75" x14ac:dyDescent="0.25">
      <c r="H285" s="30"/>
    </row>
    <row r="286" spans="7:8" ht="15.75" x14ac:dyDescent="0.25">
      <c r="H286" s="30"/>
    </row>
    <row r="287" spans="7:8" ht="15.75" x14ac:dyDescent="0.25">
      <c r="H287" s="30"/>
    </row>
    <row r="288" spans="7:8" ht="15.75" x14ac:dyDescent="0.25">
      <c r="H288" s="30"/>
    </row>
    <row r="289" spans="8:8" ht="15.75" x14ac:dyDescent="0.25">
      <c r="H289" s="30"/>
    </row>
    <row r="290" spans="8:8" ht="15.75" x14ac:dyDescent="0.25">
      <c r="H290" s="30"/>
    </row>
    <row r="291" spans="8:8" ht="15.75" x14ac:dyDescent="0.25">
      <c r="H291" s="30"/>
    </row>
    <row r="292" spans="8:8" ht="15.75" x14ac:dyDescent="0.25">
      <c r="H292" s="30"/>
    </row>
    <row r="293" spans="8:8" ht="15.75" x14ac:dyDescent="0.25">
      <c r="H293" s="30"/>
    </row>
    <row r="294" spans="8:8" ht="15.75" x14ac:dyDescent="0.25">
      <c r="H294" s="30"/>
    </row>
    <row r="295" spans="8:8" ht="15.75" x14ac:dyDescent="0.25">
      <c r="H295" s="30"/>
    </row>
    <row r="296" spans="8:8" ht="15.75" x14ac:dyDescent="0.25">
      <c r="H296" s="30"/>
    </row>
    <row r="297" spans="8:8" ht="15.75" x14ac:dyDescent="0.25">
      <c r="H297" s="30"/>
    </row>
    <row r="298" spans="8:8" ht="15.75" x14ac:dyDescent="0.25">
      <c r="H298" s="30"/>
    </row>
    <row r="299" spans="8:8" ht="15.75" x14ac:dyDescent="0.25">
      <c r="H299" s="30"/>
    </row>
    <row r="300" spans="8:8" ht="15.75" x14ac:dyDescent="0.25">
      <c r="H300" s="30"/>
    </row>
    <row r="301" spans="8:8" ht="15.75" x14ac:dyDescent="0.25">
      <c r="H301" s="30"/>
    </row>
    <row r="302" spans="8:8" ht="15.75" x14ac:dyDescent="0.25">
      <c r="H302" s="30"/>
    </row>
    <row r="303" spans="8:8" ht="15.75" x14ac:dyDescent="0.25">
      <c r="H303" s="30"/>
    </row>
    <row r="304" spans="8:8" ht="15.75" x14ac:dyDescent="0.25">
      <c r="H304" s="30"/>
    </row>
    <row r="305" spans="8:8" ht="15.75" x14ac:dyDescent="0.25">
      <c r="H305" s="30"/>
    </row>
    <row r="306" spans="8:8" ht="15.75" x14ac:dyDescent="0.25">
      <c r="H306" s="30"/>
    </row>
    <row r="307" spans="8:8" ht="15.75" x14ac:dyDescent="0.25">
      <c r="H307" s="30"/>
    </row>
    <row r="308" spans="8:8" ht="15.75" x14ac:dyDescent="0.25">
      <c r="H308" s="30"/>
    </row>
    <row r="309" spans="8:8" ht="15.75" x14ac:dyDescent="0.25">
      <c r="H309" s="30"/>
    </row>
    <row r="310" spans="8:8" ht="15.75" x14ac:dyDescent="0.25">
      <c r="H310" s="30"/>
    </row>
    <row r="311" spans="8:8" ht="15.75" x14ac:dyDescent="0.25">
      <c r="H311" s="30"/>
    </row>
    <row r="312" spans="8:8" ht="15.75" x14ac:dyDescent="0.25">
      <c r="H312" s="30"/>
    </row>
    <row r="313" spans="8:8" ht="15.75" x14ac:dyDescent="0.25">
      <c r="H313" s="30"/>
    </row>
    <row r="314" spans="8:8" ht="15.75" x14ac:dyDescent="0.25">
      <c r="H314" s="30"/>
    </row>
    <row r="315" spans="8:8" ht="15.75" x14ac:dyDescent="0.25">
      <c r="H315" s="30"/>
    </row>
    <row r="316" spans="8:8" ht="15.75" x14ac:dyDescent="0.25">
      <c r="H316" s="30"/>
    </row>
    <row r="317" spans="8:8" ht="15.75" x14ac:dyDescent="0.25">
      <c r="H317" s="30"/>
    </row>
    <row r="318" spans="8:8" ht="15.75" x14ac:dyDescent="0.25">
      <c r="H318" s="30"/>
    </row>
    <row r="319" spans="8:8" ht="15.75" x14ac:dyDescent="0.25">
      <c r="H319" s="30"/>
    </row>
    <row r="320" spans="8:8" ht="15.75" x14ac:dyDescent="0.25">
      <c r="H320" s="30"/>
    </row>
    <row r="321" spans="8:8" ht="15.75" x14ac:dyDescent="0.25">
      <c r="H321" s="30"/>
    </row>
    <row r="322" spans="8:8" ht="15.75" x14ac:dyDescent="0.25">
      <c r="H322" s="30"/>
    </row>
    <row r="323" spans="8:8" ht="15.75" x14ac:dyDescent="0.25">
      <c r="H323" s="30"/>
    </row>
    <row r="324" spans="8:8" ht="15.75" x14ac:dyDescent="0.25">
      <c r="H324" s="30"/>
    </row>
    <row r="325" spans="8:8" ht="15.75" x14ac:dyDescent="0.25">
      <c r="H325" s="30"/>
    </row>
    <row r="326" spans="8:8" ht="15.75" x14ac:dyDescent="0.25">
      <c r="H326" s="30"/>
    </row>
    <row r="327" spans="8:8" ht="15.75" x14ac:dyDescent="0.25">
      <c r="H327" s="30"/>
    </row>
    <row r="328" spans="8:8" ht="15.75" x14ac:dyDescent="0.25">
      <c r="H328" s="30"/>
    </row>
    <row r="329" spans="8:8" ht="15.75" x14ac:dyDescent="0.25">
      <c r="H329" s="30"/>
    </row>
    <row r="330" spans="8:8" ht="15.75" x14ac:dyDescent="0.25">
      <c r="H330" s="30"/>
    </row>
    <row r="331" spans="8:8" ht="15.75" x14ac:dyDescent="0.25">
      <c r="H331" s="30"/>
    </row>
    <row r="332" spans="8:8" ht="15.75" x14ac:dyDescent="0.25">
      <c r="H332" s="30"/>
    </row>
    <row r="333" spans="8:8" ht="15.75" x14ac:dyDescent="0.25">
      <c r="H333" s="30"/>
    </row>
    <row r="334" spans="8:8" ht="15.75" x14ac:dyDescent="0.25">
      <c r="H334" s="30"/>
    </row>
    <row r="335" spans="8:8" ht="15.75" x14ac:dyDescent="0.25">
      <c r="H335" s="30"/>
    </row>
    <row r="336" spans="8:8" ht="15.75" x14ac:dyDescent="0.25">
      <c r="H336" s="30"/>
    </row>
    <row r="337" spans="8:8" ht="15.75" x14ac:dyDescent="0.25">
      <c r="H337" s="30"/>
    </row>
    <row r="338" spans="8:8" ht="15.75" x14ac:dyDescent="0.25">
      <c r="H338" s="30"/>
    </row>
    <row r="339" spans="8:8" ht="15.75" x14ac:dyDescent="0.25">
      <c r="H339" s="30"/>
    </row>
    <row r="340" spans="8:8" ht="15.75" x14ac:dyDescent="0.25">
      <c r="H340" s="30"/>
    </row>
    <row r="341" spans="8:8" ht="15.75" x14ac:dyDescent="0.25">
      <c r="H341" s="30"/>
    </row>
    <row r="342" spans="8:8" ht="15.75" x14ac:dyDescent="0.25">
      <c r="H342" s="30"/>
    </row>
    <row r="343" spans="8:8" ht="15.75" x14ac:dyDescent="0.25">
      <c r="H343" s="30"/>
    </row>
    <row r="344" spans="8:8" ht="15.75" x14ac:dyDescent="0.25">
      <c r="H344" s="30"/>
    </row>
    <row r="345" spans="8:8" ht="15.75" x14ac:dyDescent="0.25">
      <c r="H345" s="30"/>
    </row>
    <row r="346" spans="8:8" ht="15.75" x14ac:dyDescent="0.25">
      <c r="H346" s="30"/>
    </row>
    <row r="347" spans="8:8" ht="15.75" x14ac:dyDescent="0.25">
      <c r="H347" s="30"/>
    </row>
    <row r="348" spans="8:8" ht="15.75" x14ac:dyDescent="0.25">
      <c r="H348" s="30"/>
    </row>
    <row r="349" spans="8:8" ht="15.75" x14ac:dyDescent="0.25">
      <c r="H349" s="30"/>
    </row>
    <row r="350" spans="8:8" ht="15.75" x14ac:dyDescent="0.25">
      <c r="H350" s="30"/>
    </row>
    <row r="351" spans="8:8" ht="15.75" x14ac:dyDescent="0.25">
      <c r="H351" s="30"/>
    </row>
    <row r="352" spans="8:8" ht="15.75" x14ac:dyDescent="0.25">
      <c r="H352" s="30"/>
    </row>
    <row r="353" spans="8:8" ht="15.75" x14ac:dyDescent="0.25">
      <c r="H353" s="30"/>
    </row>
    <row r="354" spans="8:8" ht="15.75" x14ac:dyDescent="0.25">
      <c r="H354" s="30"/>
    </row>
    <row r="355" spans="8:8" ht="15.75" x14ac:dyDescent="0.25">
      <c r="H355" s="30"/>
    </row>
    <row r="356" spans="8:8" ht="15.75" x14ac:dyDescent="0.25">
      <c r="H356" s="30"/>
    </row>
    <row r="357" spans="8:8" ht="15.75" x14ac:dyDescent="0.25">
      <c r="H357" s="30"/>
    </row>
    <row r="358" spans="8:8" ht="15.75" x14ac:dyDescent="0.25">
      <c r="H358" s="30"/>
    </row>
    <row r="359" spans="8:8" ht="15.75" x14ac:dyDescent="0.25">
      <c r="H359" s="30"/>
    </row>
    <row r="360" spans="8:8" ht="15.75" x14ac:dyDescent="0.25">
      <c r="H360" s="30"/>
    </row>
    <row r="361" spans="8:8" ht="15.75" x14ac:dyDescent="0.25">
      <c r="H361" s="30"/>
    </row>
    <row r="362" spans="8:8" ht="15.75" x14ac:dyDescent="0.25">
      <c r="H362" s="30"/>
    </row>
    <row r="363" spans="8:8" ht="15.75" x14ac:dyDescent="0.25">
      <c r="H363" s="30"/>
    </row>
    <row r="364" spans="8:8" ht="15.75" x14ac:dyDescent="0.25">
      <c r="H364" s="30"/>
    </row>
    <row r="365" spans="8:8" ht="15.75" x14ac:dyDescent="0.25">
      <c r="H365" s="30"/>
    </row>
    <row r="366" spans="8:8" ht="15.75" x14ac:dyDescent="0.25">
      <c r="H366" s="30"/>
    </row>
    <row r="367" spans="8:8" ht="15.75" x14ac:dyDescent="0.25">
      <c r="H367" s="30"/>
    </row>
    <row r="368" spans="8:8" ht="15.75" x14ac:dyDescent="0.25">
      <c r="H368" s="30"/>
    </row>
    <row r="369" spans="8:8" ht="15.75" x14ac:dyDescent="0.25">
      <c r="H369" s="30"/>
    </row>
    <row r="370" spans="8:8" ht="15.75" x14ac:dyDescent="0.25">
      <c r="H370" s="30"/>
    </row>
    <row r="371" spans="8:8" ht="15.75" x14ac:dyDescent="0.25">
      <c r="H371" s="30"/>
    </row>
    <row r="372" spans="8:8" ht="15.75" x14ac:dyDescent="0.25">
      <c r="H372" s="30"/>
    </row>
    <row r="373" spans="8:8" ht="15.75" x14ac:dyDescent="0.25">
      <c r="H373" s="30"/>
    </row>
    <row r="374" spans="8:8" ht="15.75" x14ac:dyDescent="0.25">
      <c r="H374" s="30"/>
    </row>
    <row r="375" spans="8:8" ht="15.75" x14ac:dyDescent="0.25">
      <c r="H375" s="30"/>
    </row>
    <row r="376" spans="8:8" ht="15.75" x14ac:dyDescent="0.25">
      <c r="H376" s="30"/>
    </row>
    <row r="377" spans="8:8" ht="15.75" x14ac:dyDescent="0.25">
      <c r="H377" s="30"/>
    </row>
    <row r="378" spans="8:8" ht="15.75" x14ac:dyDescent="0.25">
      <c r="H378" s="30"/>
    </row>
    <row r="379" spans="8:8" ht="15.75" x14ac:dyDescent="0.25">
      <c r="H379" s="30"/>
    </row>
    <row r="380" spans="8:8" ht="15.75" x14ac:dyDescent="0.25">
      <c r="H380" s="30"/>
    </row>
    <row r="381" spans="8:8" ht="15.75" x14ac:dyDescent="0.25">
      <c r="H381" s="30"/>
    </row>
    <row r="382" spans="8:8" ht="15.75" x14ac:dyDescent="0.25">
      <c r="H382" s="30"/>
    </row>
    <row r="383" spans="8:8" ht="15.75" x14ac:dyDescent="0.25">
      <c r="H383" s="30"/>
    </row>
    <row r="384" spans="8:8" ht="15.75" x14ac:dyDescent="0.25">
      <c r="H384" s="30"/>
    </row>
    <row r="385" spans="8:8" ht="15.75" x14ac:dyDescent="0.25">
      <c r="H385" s="30"/>
    </row>
    <row r="386" spans="8:8" ht="15.75" x14ac:dyDescent="0.25">
      <c r="H386" s="30"/>
    </row>
    <row r="387" spans="8:8" ht="15.75" x14ac:dyDescent="0.25">
      <c r="H387" s="30"/>
    </row>
    <row r="388" spans="8:8" ht="15.75" x14ac:dyDescent="0.25">
      <c r="H388" s="30"/>
    </row>
    <row r="389" spans="8:8" ht="15.75" x14ac:dyDescent="0.25">
      <c r="H389" s="30"/>
    </row>
    <row r="390" spans="8:8" ht="15.75" x14ac:dyDescent="0.25">
      <c r="H390" s="30"/>
    </row>
    <row r="391" spans="8:8" ht="15.75" x14ac:dyDescent="0.25">
      <c r="H391" s="30"/>
    </row>
    <row r="392" spans="8:8" ht="15.75" x14ac:dyDescent="0.25">
      <c r="H392" s="30"/>
    </row>
    <row r="393" spans="8:8" ht="15.75" x14ac:dyDescent="0.25">
      <c r="H393" s="30"/>
    </row>
    <row r="394" spans="8:8" ht="15.75" x14ac:dyDescent="0.25">
      <c r="H394" s="30"/>
    </row>
    <row r="395" spans="8:8" ht="15.75" x14ac:dyDescent="0.25">
      <c r="H395" s="30"/>
    </row>
    <row r="396" spans="8:8" ht="15.75" x14ac:dyDescent="0.25">
      <c r="H396" s="30"/>
    </row>
    <row r="397" spans="8:8" ht="15.75" x14ac:dyDescent="0.25">
      <c r="H397" s="30"/>
    </row>
    <row r="398" spans="8:8" ht="15.75" x14ac:dyDescent="0.25">
      <c r="H398" s="30"/>
    </row>
    <row r="399" spans="8:8" ht="15.75" x14ac:dyDescent="0.25">
      <c r="H399" s="30"/>
    </row>
    <row r="400" spans="8:8" ht="15.75" x14ac:dyDescent="0.25">
      <c r="H400" s="30"/>
    </row>
    <row r="401" spans="8:8" ht="15.75" x14ac:dyDescent="0.25">
      <c r="H401" s="30"/>
    </row>
    <row r="402" spans="8:8" ht="15.75" x14ac:dyDescent="0.25">
      <c r="H402" s="30"/>
    </row>
    <row r="403" spans="8:8" ht="15.75" x14ac:dyDescent="0.25">
      <c r="H403" s="30"/>
    </row>
    <row r="404" spans="8:8" ht="15.75" x14ac:dyDescent="0.25">
      <c r="H404" s="30"/>
    </row>
    <row r="405" spans="8:8" ht="15.75" x14ac:dyDescent="0.25">
      <c r="H405" s="30"/>
    </row>
    <row r="406" spans="8:8" ht="15.75" x14ac:dyDescent="0.25">
      <c r="H406" s="30"/>
    </row>
    <row r="407" spans="8:8" ht="15.75" x14ac:dyDescent="0.25">
      <c r="H407" s="30"/>
    </row>
    <row r="408" spans="8:8" ht="15.75" x14ac:dyDescent="0.25">
      <c r="H408" s="30"/>
    </row>
    <row r="409" spans="8:8" ht="15.75" x14ac:dyDescent="0.25">
      <c r="H409" s="30"/>
    </row>
    <row r="410" spans="8:8" ht="15.75" x14ac:dyDescent="0.25">
      <c r="H410" s="30"/>
    </row>
    <row r="411" spans="8:8" ht="15.75" x14ac:dyDescent="0.25">
      <c r="H411" s="30"/>
    </row>
    <row r="412" spans="8:8" ht="15.75" x14ac:dyDescent="0.25">
      <c r="H412" s="30"/>
    </row>
    <row r="413" spans="8:8" ht="15.75" x14ac:dyDescent="0.25">
      <c r="H413" s="30"/>
    </row>
    <row r="414" spans="8:8" ht="15.75" x14ac:dyDescent="0.25">
      <c r="H414" s="30"/>
    </row>
    <row r="415" spans="8:8" ht="15.75" x14ac:dyDescent="0.25">
      <c r="H415" s="30"/>
    </row>
    <row r="416" spans="8:8" ht="15.75" x14ac:dyDescent="0.25">
      <c r="H416" s="30"/>
    </row>
    <row r="417" spans="8:8" ht="15.75" x14ac:dyDescent="0.25">
      <c r="H417" s="30"/>
    </row>
    <row r="418" spans="8:8" ht="15.75" x14ac:dyDescent="0.25">
      <c r="H418" s="30"/>
    </row>
    <row r="419" spans="8:8" ht="15.75" x14ac:dyDescent="0.25">
      <c r="H419" s="30"/>
    </row>
    <row r="420" spans="8:8" ht="15.75" x14ac:dyDescent="0.25">
      <c r="H420" s="30"/>
    </row>
    <row r="421" spans="8:8" ht="15.75" x14ac:dyDescent="0.25">
      <c r="H421" s="30"/>
    </row>
    <row r="422" spans="8:8" ht="15.75" x14ac:dyDescent="0.25">
      <c r="H422" s="30"/>
    </row>
    <row r="423" spans="8:8" ht="15.75" x14ac:dyDescent="0.25">
      <c r="H423" s="30"/>
    </row>
    <row r="424" spans="8:8" ht="15.75" x14ac:dyDescent="0.25">
      <c r="H424" s="30"/>
    </row>
    <row r="425" spans="8:8" ht="15.75" x14ac:dyDescent="0.25">
      <c r="H425" s="30"/>
    </row>
    <row r="426" spans="8:8" ht="15.75" x14ac:dyDescent="0.25">
      <c r="H426" s="30"/>
    </row>
    <row r="427" spans="8:8" ht="15.75" x14ac:dyDescent="0.25">
      <c r="H427" s="30"/>
    </row>
    <row r="428" spans="8:8" ht="15.75" x14ac:dyDescent="0.25">
      <c r="H428" s="30"/>
    </row>
    <row r="429" spans="8:8" ht="15.75" x14ac:dyDescent="0.25">
      <c r="H429" s="30"/>
    </row>
    <row r="430" spans="8:8" ht="15.75" x14ac:dyDescent="0.25">
      <c r="H430" s="30"/>
    </row>
    <row r="431" spans="8:8" ht="15.75" x14ac:dyDescent="0.25">
      <c r="H431" s="30"/>
    </row>
    <row r="432" spans="8:8" ht="15.75" x14ac:dyDescent="0.25">
      <c r="H432" s="30"/>
    </row>
    <row r="433" spans="8:8" ht="15.75" x14ac:dyDescent="0.25">
      <c r="H433" s="30"/>
    </row>
    <row r="434" spans="8:8" ht="15.75" x14ac:dyDescent="0.25">
      <c r="H434" s="30"/>
    </row>
    <row r="435" spans="8:8" ht="15.75" x14ac:dyDescent="0.25">
      <c r="H435" s="30"/>
    </row>
    <row r="436" spans="8:8" ht="15.75" x14ac:dyDescent="0.25">
      <c r="H436" s="30"/>
    </row>
    <row r="437" spans="8:8" ht="15.75" x14ac:dyDescent="0.25">
      <c r="H437" s="30"/>
    </row>
    <row r="438" spans="8:8" ht="15.75" x14ac:dyDescent="0.25">
      <c r="H438" s="30"/>
    </row>
    <row r="439" spans="8:8" ht="15.75" x14ac:dyDescent="0.25">
      <c r="H439" s="30"/>
    </row>
    <row r="440" spans="8:8" ht="15.75" x14ac:dyDescent="0.25">
      <c r="H440" s="30"/>
    </row>
    <row r="441" spans="8:8" ht="15.75" x14ac:dyDescent="0.25">
      <c r="H441" s="30"/>
    </row>
    <row r="442" spans="8:8" ht="15.75" x14ac:dyDescent="0.25">
      <c r="H442" s="30"/>
    </row>
    <row r="443" spans="8:8" ht="15.75" x14ac:dyDescent="0.25">
      <c r="H443" s="30"/>
    </row>
    <row r="444" spans="8:8" ht="15.75" x14ac:dyDescent="0.25">
      <c r="H444" s="30"/>
    </row>
    <row r="445" spans="8:8" ht="15.75" x14ac:dyDescent="0.25">
      <c r="H445" s="30"/>
    </row>
    <row r="446" spans="8:8" ht="15.75" x14ac:dyDescent="0.25">
      <c r="H446" s="30"/>
    </row>
    <row r="447" spans="8:8" ht="15.75" x14ac:dyDescent="0.25">
      <c r="H447" s="30"/>
    </row>
    <row r="448" spans="8:8" ht="15.75" x14ac:dyDescent="0.25">
      <c r="H448" s="30"/>
    </row>
    <row r="449" spans="8:8" ht="15.75" x14ac:dyDescent="0.25">
      <c r="H449" s="30"/>
    </row>
    <row r="450" spans="8:8" ht="15.75" x14ac:dyDescent="0.25">
      <c r="H450" s="30"/>
    </row>
    <row r="451" spans="8:8" ht="15.75" x14ac:dyDescent="0.25">
      <c r="H451" s="30"/>
    </row>
    <row r="452" spans="8:8" ht="15.75" x14ac:dyDescent="0.25">
      <c r="H452" s="30"/>
    </row>
    <row r="453" spans="8:8" ht="15.75" x14ac:dyDescent="0.25">
      <c r="H453" s="30"/>
    </row>
    <row r="454" spans="8:8" ht="15.75" x14ac:dyDescent="0.25">
      <c r="H454" s="30"/>
    </row>
    <row r="455" spans="8:8" ht="15.75" x14ac:dyDescent="0.25">
      <c r="H455" s="30"/>
    </row>
    <row r="456" spans="8:8" ht="15.75" x14ac:dyDescent="0.25">
      <c r="H456" s="30"/>
    </row>
    <row r="457" spans="8:8" ht="15.75" x14ac:dyDescent="0.25">
      <c r="H457" s="30"/>
    </row>
  </sheetData>
  <conditionalFormatting sqref="J35:J83 J3:K3 K4:K12 J4:J22 P5:P110 K15:K17 K19:K22 J24:K34 K35:K63 K65:K80 J88:K104 N91:O110 J110">
    <cfRule type="containsText" dxfId="7" priority="15" operator="containsText" text="Caducado">
      <formula>NOT(ISERROR(SEARCH("Caducado",J3)))</formula>
    </cfRule>
  </conditionalFormatting>
  <conditionalFormatting sqref="J81:J82">
    <cfRule type="containsText" dxfId="6" priority="7" operator="containsText" text="Caducado">
      <formula>NOT(ISERROR(SEARCH("Caducado",J81)))</formula>
    </cfRule>
    <cfRule type="containsText" dxfId="5" priority="8" operator="containsText" text="OK">
      <formula>NOT(ISERROR(SEARCH("OK",J81)))</formula>
    </cfRule>
  </conditionalFormatting>
  <conditionalFormatting sqref="J3:K3 K4:K12 J4:J22 P5:P110 K15:K17 K19:K22 J24:K34 K35:K63 J35:J83 K65:K80 J88:K104 N91:O110 J110">
    <cfRule type="containsText" dxfId="4" priority="16" operator="containsText" text="OK">
      <formula>NOT(ISERROR(SEARCH("OK",J3)))</formula>
    </cfRule>
  </conditionalFormatting>
  <conditionalFormatting sqref="N4:N90">
    <cfRule type="containsText" dxfId="3" priority="1" operator="containsText" text="Caducado">
      <formula>NOT(ISERROR(SEARCH("Caducado",N4)))</formula>
    </cfRule>
    <cfRule type="containsText" dxfId="2" priority="2" operator="containsText" text="OK">
      <formula>NOT(ISERROR(SEARCH("OK",N4)))</formula>
    </cfRule>
  </conditionalFormatting>
  <conditionalFormatting sqref="N3:P3 O4:P4 O5:O13 O15:O17 O19:O90">
    <cfRule type="containsText" dxfId="1" priority="3" operator="containsText" text="Caducado">
      <formula>NOT(ISERROR(SEARCH("Caducado",N3)))</formula>
    </cfRule>
    <cfRule type="containsText" dxfId="0" priority="4" operator="containsText" text="OK">
      <formula>NOT(ISERROR(SEARCH("OK",N3)))</formula>
    </cfRule>
  </conditionalFormatting>
  <dataValidations disablePrompts="1" count="2">
    <dataValidation allowBlank="1" showInputMessage="1" showErrorMessage="1" error="El dni puede tener un máximo de 11 caracteres." sqref="C91:E91" xr:uid="{00000000-0002-0000-0000-000002000000}"/>
    <dataValidation allowBlank="1" showInputMessage="1" showErrorMessage="1" error="El número máximo de caracteres para el apellido2 es 60" sqref="F65:G65" xr:uid="{00000000-0002-0000-0000-000003000000}"/>
  </dataValidations>
  <hyperlinks>
    <hyperlink ref="L75" r:id="rId1" xr:uid="{00000000-0004-0000-0000-000000000000}"/>
    <hyperlink ref="L66" r:id="rId2" xr:uid="{00000000-0004-0000-0000-000004000000}"/>
    <hyperlink ref="L68" r:id="rId3" xr:uid="{00000000-0004-0000-0000-000005000000}"/>
    <hyperlink ref="L61" r:id="rId4" xr:uid="{00000000-0004-0000-0000-000006000000}"/>
    <hyperlink ref="L9" r:id="rId5" xr:uid="{00000000-0004-0000-0000-00000B000000}"/>
    <hyperlink ref="L17" r:id="rId6" xr:uid="{00000000-0004-0000-0000-00000C000000}"/>
    <hyperlink ref="L22" r:id="rId7" xr:uid="{00000000-0004-0000-0000-00000E000000}"/>
    <hyperlink ref="L37" r:id="rId8" xr:uid="{00000000-0004-0000-0000-00000F000000}"/>
    <hyperlink ref="L72" r:id="rId9" xr:uid="{00000000-0004-0000-0000-000011000000}"/>
    <hyperlink ref="L71" r:id="rId10" xr:uid="{00000000-0004-0000-0000-000012000000}"/>
    <hyperlink ref="L63" r:id="rId11" xr:uid="{00000000-0004-0000-0000-000013000000}"/>
    <hyperlink ref="L93" r:id="rId12" xr:uid="{00000000-0004-0000-0000-000019000000}"/>
    <hyperlink ref="L76" r:id="rId13" xr:uid="{00000000-0004-0000-0000-00001B000000}"/>
    <hyperlink ref="L10" r:id="rId14" xr:uid="{00000000-0004-0000-0000-00001C000000}"/>
    <hyperlink ref="L4" r:id="rId15" xr:uid="{00000000-0004-0000-0000-00001D000000}"/>
    <hyperlink ref="L57" r:id="rId16" xr:uid="{00000000-0004-0000-0000-00001E000000}"/>
    <hyperlink ref="L67" r:id="rId17" xr:uid="{00000000-0004-0000-0000-00001F000000}"/>
    <hyperlink ref="L15" r:id="rId18" xr:uid="{00000000-0004-0000-0000-000021000000}"/>
    <hyperlink ref="L62" r:id="rId19" xr:uid="{00000000-0004-0000-0000-000023000000}"/>
    <hyperlink ref="L73" r:id="rId20" xr:uid="{00000000-0004-0000-0000-000027000000}"/>
    <hyperlink ref="L7" r:id="rId21" xr:uid="{00000000-0004-0000-0000-000028000000}"/>
    <hyperlink ref="L35" r:id="rId22" xr:uid="{00000000-0004-0000-0000-000029000000}"/>
    <hyperlink ref="L59" r:id="rId23" xr:uid="{00000000-0004-0000-0000-00002A000000}"/>
    <hyperlink ref="L55" r:id="rId24" xr:uid="{00000000-0004-0000-0000-00002C000000}"/>
    <hyperlink ref="L38" r:id="rId25" xr:uid="{00000000-0004-0000-0000-00002F000000}"/>
    <hyperlink ref="L45" r:id="rId26" xr:uid="{00000000-0004-0000-0000-000030000000}"/>
    <hyperlink ref="L40" r:id="rId27" xr:uid="{00000000-0004-0000-0000-000031000000}"/>
    <hyperlink ref="L91" r:id="rId28" xr:uid="{00000000-0004-0000-0000-000033000000}"/>
    <hyperlink ref="L74" r:id="rId29" xr:uid="{00000000-0004-0000-0000-000034000000}"/>
    <hyperlink ref="L65" r:id="rId30" xr:uid="{00000000-0004-0000-0000-000037000000}"/>
    <hyperlink ref="L36" r:id="rId31" xr:uid="{00000000-0004-0000-0000-000038000000}"/>
    <hyperlink ref="L47" r:id="rId32" xr:uid="{00000000-0004-0000-0000-00003A000000}"/>
    <hyperlink ref="L46" r:id="rId33" xr:uid="{00000000-0004-0000-0000-00003B000000}"/>
    <hyperlink ref="L3" r:id="rId34" xr:uid="{00000000-0004-0000-0000-00003F000000}"/>
    <hyperlink ref="L5" r:id="rId35" xr:uid="{00000000-0004-0000-0000-000040000000}"/>
    <hyperlink ref="L28" r:id="rId36" xr:uid="{00000000-0004-0000-0000-000041000000}"/>
    <hyperlink ref="L54" r:id="rId37" xr:uid="{00000000-0004-0000-0000-000042000000}"/>
    <hyperlink ref="L27" r:id="rId38" xr:uid="{00000000-0004-0000-0000-000044000000}"/>
    <hyperlink ref="L8" r:id="rId39" xr:uid="{00000000-0004-0000-0000-000045000000}"/>
    <hyperlink ref="L16" r:id="rId40" xr:uid="{00000000-0004-0000-0000-000046000000}"/>
    <hyperlink ref="L21" r:id="rId41" xr:uid="{00000000-0004-0000-0000-000048000000}"/>
    <hyperlink ref="L20" r:id="rId42" xr:uid="{00000000-0004-0000-0000-000049000000}"/>
    <hyperlink ref="L6" r:id="rId43" xr:uid="{00000000-0004-0000-0000-00004B000000}"/>
    <hyperlink ref="L39" r:id="rId44" xr:uid="{00000000-0004-0000-0000-00004C000000}"/>
    <hyperlink ref="L48" r:id="rId45" xr:uid="{00000000-0004-0000-0000-00004D000000}"/>
    <hyperlink ref="L51" r:id="rId46" xr:uid="{00000000-0004-0000-0000-00004E000000}"/>
    <hyperlink ref="L25" r:id="rId47" xr:uid="{00000000-0004-0000-0000-00004F000000}"/>
    <hyperlink ref="L52" r:id="rId48" xr:uid="{00000000-0004-0000-0000-000050000000}"/>
    <hyperlink ref="L53" r:id="rId49" xr:uid="{00000000-0004-0000-0000-000051000000}"/>
    <hyperlink ref="L96" r:id="rId50" xr:uid="{00000000-0004-0000-0000-000056000000}"/>
    <hyperlink ref="L44" r:id="rId51" xr:uid="{00000000-0004-0000-0000-000058000000}"/>
    <hyperlink ref="L70" r:id="rId52" xr:uid="{00000000-0004-0000-0000-00005C000000}"/>
    <hyperlink ref="L11" r:id="rId53" xr:uid="{00000000-0004-0000-0000-00005D000000}"/>
    <hyperlink ref="L33" r:id="rId54" xr:uid="{00000000-0004-0000-0000-00005E000000}"/>
    <hyperlink ref="L94" r:id="rId55" xr:uid="{00000000-0004-0000-0000-000063000000}"/>
    <hyperlink ref="L95" r:id="rId56" xr:uid="{00000000-0004-0000-0000-000064000000}"/>
    <hyperlink ref="L97" r:id="rId57" xr:uid="{00000000-0004-0000-0000-000065000000}"/>
    <hyperlink ref="L98" r:id="rId58" xr:uid="{00000000-0004-0000-0000-000066000000}"/>
    <hyperlink ref="L69" r:id="rId59" xr:uid="{00000000-0004-0000-0000-000067000000}"/>
    <hyperlink ref="L49" r:id="rId60" xr:uid="{00000000-0004-0000-0000-000068000000}"/>
    <hyperlink ref="L92" r:id="rId61" xr:uid="{00000000-0004-0000-0000-000069000000}"/>
    <hyperlink ref="L34" r:id="rId62" xr:uid="{00000000-0004-0000-0000-000070000000}"/>
    <hyperlink ref="L99" r:id="rId63" xr:uid="{00000000-0004-0000-0000-000071000000}"/>
    <hyperlink ref="L42" r:id="rId64" xr:uid="{00000000-0004-0000-0000-000073000000}"/>
    <hyperlink ref="L43" r:id="rId65" xr:uid="{00000000-0004-0000-0000-00007B000000}"/>
    <hyperlink ref="L100" r:id="rId66" xr:uid="{00000000-0004-0000-0000-00007D000000}"/>
    <hyperlink ref="L60" r:id="rId67" xr:uid="{00000000-0004-0000-0000-00007E000000}"/>
    <hyperlink ref="L12" r:id="rId68" xr:uid="{00000000-0004-0000-0000-000083000000}"/>
    <hyperlink ref="L101" r:id="rId69" xr:uid="{00000000-0004-0000-0000-000084000000}"/>
    <hyperlink ref="L41" r:id="rId70" display="isabelmondel62@gmail.com" xr:uid="{00000000-0004-0000-0000-000086000000}"/>
    <hyperlink ref="L78" r:id="rId71" xr:uid="{00000000-0004-0000-0000-00008D000000}"/>
    <hyperlink ref="L13" r:id="rId72" xr:uid="{00000000-0004-0000-0000-00008F000000}"/>
    <hyperlink ref="L103" r:id="rId73" xr:uid="{00000000-0004-0000-0000-000092000000}"/>
    <hyperlink ref="L79" r:id="rId74" xr:uid="{00000000-0004-0000-0000-000094000000}"/>
    <hyperlink ref="L77" r:id="rId75" xr:uid="{00000000-0004-0000-0000-000095000000}"/>
    <hyperlink ref="L58" r:id="rId76" xr:uid="{00000000-0004-0000-0000-00009C000000}"/>
    <hyperlink ref="L80" r:id="rId77" xr:uid="{00000000-0004-0000-0000-00009D000000}"/>
    <hyperlink ref="L26" r:id="rId78" xr:uid="{00000000-0004-0000-0000-00009E000000}"/>
    <hyperlink ref="L104" r:id="rId79" display="kilianguerravalenciaa@gmail.com" xr:uid="{00000000-0004-0000-0000-0000A0000000}"/>
    <hyperlink ref="L14" r:id="rId80" xr:uid="{00000000-0004-0000-0000-0000A2000000}"/>
    <hyperlink ref="L18" r:id="rId81" xr:uid="{00000000-0004-0000-0000-0000A3000000}"/>
    <hyperlink ref="L23" r:id="rId82" xr:uid="{00000000-0004-0000-0000-0000A4000000}"/>
    <hyperlink ref="L82" r:id="rId83" xr:uid="{00000000-0004-0000-0000-0000A5000000}"/>
    <hyperlink ref="L81" r:id="rId84" display="mailto:naomipadronmartin@gmail.com" xr:uid="{00000000-0004-0000-0000-0000A7000000}"/>
    <hyperlink ref="L83" r:id="rId85" xr:uid="{00000000-0004-0000-0000-0000A9000000}"/>
    <hyperlink ref="L86" r:id="rId86" xr:uid="{00000000-0004-0000-0000-0000AF000000}"/>
    <hyperlink ref="L85" r:id="rId87" xr:uid="{00000000-0004-0000-0000-0000B0000000}"/>
    <hyperlink ref="L87" r:id="rId88" display="mailto:nelsonbolanos46@gmail.com" xr:uid="{00000000-0004-0000-0000-0000B1000000}"/>
    <hyperlink ref="L84" r:id="rId89" xr:uid="{00000000-0004-0000-0000-0000B3000000}"/>
    <hyperlink ref="L64" r:id="rId90" xr:uid="{00000000-0004-0000-0000-0000B4000000}"/>
    <hyperlink ref="L105" r:id="rId91" display="mailto:nayra.diepa@gmail.com" xr:uid="{00000000-0004-0000-0000-0000B5000000}"/>
    <hyperlink ref="L56" r:id="rId92" xr:uid="{00000000-0004-0000-0000-0000B8000000}"/>
    <hyperlink ref="L30" r:id="rId93" xr:uid="{00000000-0004-0000-0000-0000BA000000}"/>
    <hyperlink ref="L50" r:id="rId94" xr:uid="{00000000-0004-0000-0000-000057000000}"/>
  </hyperlinks>
  <pageMargins left="0.70866141732283472" right="0.70866141732283472" top="0.74803149606299213" bottom="0.74803149606299213" header="0.31496062992125984" footer="0.31496062992125984"/>
  <pageSetup paperSize="9" orientation="landscape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 reloj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Userpc3</dc:creator>
  <cp:lastModifiedBy>Cooperativa agricola san nicolas de tolentino</cp:lastModifiedBy>
  <cp:lastPrinted>2022-02-22T12:16:51Z</cp:lastPrinted>
  <dcterms:created xsi:type="dcterms:W3CDTF">2020-09-14T09:39:01Z</dcterms:created>
  <dcterms:modified xsi:type="dcterms:W3CDTF">2026-02-16T19:39:22Z</dcterms:modified>
</cp:coreProperties>
</file>